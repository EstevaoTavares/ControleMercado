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8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9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Estevão\Desktop\"/>
    </mc:Choice>
  </mc:AlternateContent>
  <xr:revisionPtr revIDLastSave="0" documentId="13_ncr:1_{920B2EB5-B02E-4C07-918C-AA5FE70C9ED8}" xr6:coauthVersionLast="47" xr6:coauthVersionMax="47" xr10:uidLastSave="{00000000-0000-0000-0000-000000000000}"/>
  <bookViews>
    <workbookView xWindow="-120" yWindow="-120" windowWidth="20730" windowHeight="11160" tabRatio="608" firstSheet="2" activeTab="7" xr2:uid="{00000000-000D-0000-FFFF-FFFF00000000}"/>
  </bookViews>
  <sheets>
    <sheet name="Menu" sheetId="1" r:id="rId1"/>
    <sheet name="Despesas " sheetId="2" r:id="rId2"/>
    <sheet name="Compras Mercadorias" sheetId="6" r:id="rId3"/>
    <sheet name="Investimentos" sheetId="7" r:id="rId4"/>
    <sheet name="Controle de Estoque" sheetId="8" r:id="rId5"/>
    <sheet name="Vendas" sheetId="3" r:id="rId6"/>
    <sheet name="Resultados" sheetId="4" r:id="rId7"/>
    <sheet name="Semana 1" sheetId="9" r:id="rId8"/>
    <sheet name="Análise Semana 1" sheetId="14" r:id="rId9"/>
    <sheet name="Semana 2" sheetId="10" r:id="rId10"/>
    <sheet name="Análise Semana 2" sheetId="15" r:id="rId11"/>
    <sheet name="Semana 3" sheetId="11" r:id="rId12"/>
    <sheet name="Análise Semana 3" sheetId="16" r:id="rId13"/>
    <sheet name="Semana 4" sheetId="12" r:id="rId14"/>
    <sheet name="Análise Semana 4" sheetId="17" r:id="rId15"/>
    <sheet name="Semana 5" sheetId="13" r:id="rId16"/>
    <sheet name="Análise Semana 5" sheetId="18" r:id="rId17"/>
    <sheet name="Calculos" sheetId="5" r:id="rId18"/>
  </sheets>
  <definedNames>
    <definedName name="_xlnm._FilterDatabase" localSheetId="17" hidden="1">Calculos!$J$4:$M$4</definedName>
    <definedName name="_xlnm.Print_Area" localSheetId="6">Resultados!$C$4:$E$25</definedName>
  </definedNames>
  <calcPr calcId="191029"/>
  <pivotCaches>
    <pivotCache cacheId="15" r:id="rId19"/>
    <pivotCache cacheId="22" r:id="rId20"/>
    <pivotCache cacheId="23" r:id="rId21"/>
    <pivotCache cacheId="27" r:id="rId22"/>
    <pivotCache cacheId="31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4" l="1"/>
  <c r="E5" i="11"/>
  <c r="G5" i="11"/>
  <c r="H5" i="11" s="1"/>
  <c r="K5" i="11"/>
  <c r="C5" i="10"/>
  <c r="E5" i="10"/>
  <c r="G5" i="10"/>
  <c r="H5" i="10" s="1"/>
  <c r="K5" i="10"/>
  <c r="M5" i="10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E5" i="13"/>
  <c r="G5" i="13"/>
  <c r="H5" i="13" s="1"/>
  <c r="K5" i="13"/>
  <c r="K6" i="13"/>
  <c r="K7" i="13"/>
  <c r="E6" i="13"/>
  <c r="G6" i="13"/>
  <c r="H6" i="13" s="1"/>
  <c r="G7" i="13"/>
  <c r="H7" i="13" s="1"/>
  <c r="E7" i="13"/>
  <c r="C5" i="12"/>
  <c r="G6" i="11"/>
  <c r="H6" i="11" s="1"/>
  <c r="G7" i="11"/>
  <c r="G8" i="11"/>
  <c r="H8" i="11" s="1"/>
  <c r="G9" i="11"/>
  <c r="H7" i="11"/>
  <c r="H9" i="11"/>
  <c r="M8" i="11"/>
  <c r="E5" i="12"/>
  <c r="G5" i="12"/>
  <c r="H5" i="12" s="1"/>
  <c r="K5" i="12"/>
  <c r="K6" i="11"/>
  <c r="K7" i="11"/>
  <c r="K8" i="11"/>
  <c r="K9" i="11"/>
  <c r="E6" i="11"/>
  <c r="E7" i="11"/>
  <c r="E8" i="11"/>
  <c r="E9" i="11"/>
  <c r="E6" i="10"/>
  <c r="G6" i="10"/>
  <c r="H6" i="10" s="1"/>
  <c r="K6" i="10"/>
  <c r="E7" i="10"/>
  <c r="G7" i="10"/>
  <c r="H7" i="10" s="1"/>
  <c r="K7" i="10"/>
  <c r="M12" i="11"/>
  <c r="E8" i="10"/>
  <c r="G8" i="10"/>
  <c r="H8" i="10" s="1"/>
  <c r="K8" i="10"/>
  <c r="M8" i="10"/>
  <c r="C9" i="10"/>
  <c r="E9" i="10"/>
  <c r="G9" i="10"/>
  <c r="H9" i="10" s="1"/>
  <c r="K9" i="10"/>
  <c r="M9" i="10"/>
  <c r="C10" i="10"/>
  <c r="E10" i="10"/>
  <c r="G10" i="10"/>
  <c r="H10" i="10" s="1"/>
  <c r="K10" i="10"/>
  <c r="C11" i="10"/>
  <c r="E11" i="10"/>
  <c r="G11" i="10"/>
  <c r="H11" i="10" s="1"/>
  <c r="K11" i="10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M7" i="9"/>
  <c r="M11" i="9"/>
  <c r="M13" i="9"/>
  <c r="M14" i="9"/>
  <c r="M15" i="9"/>
  <c r="M19" i="9"/>
  <c r="M20" i="9"/>
  <c r="M23" i="9"/>
  <c r="M27" i="9"/>
  <c r="M28" i="9"/>
  <c r="E45" i="3"/>
  <c r="M15" i="10"/>
  <c r="E5" i="9"/>
  <c r="G5" i="9"/>
  <c r="H5" i="9" s="1"/>
  <c r="G6" i="9"/>
  <c r="H6" i="9" s="1"/>
  <c r="G7" i="9"/>
  <c r="H7" i="9" s="1"/>
  <c r="G8" i="9"/>
  <c r="H8" i="9" s="1"/>
  <c r="G9" i="9"/>
  <c r="H9" i="9" s="1"/>
  <c r="G10" i="9"/>
  <c r="H10" i="9" s="1"/>
  <c r="G11" i="9"/>
  <c r="H11" i="9" s="1"/>
  <c r="G12" i="9"/>
  <c r="H12" i="9" s="1"/>
  <c r="G13" i="9"/>
  <c r="H13" i="9" s="1"/>
  <c r="G14" i="9"/>
  <c r="H14" i="9" s="1"/>
  <c r="G15" i="9"/>
  <c r="H15" i="9" s="1"/>
  <c r="G16" i="9"/>
  <c r="H16" i="9" s="1"/>
  <c r="G17" i="9"/>
  <c r="H17" i="9" s="1"/>
  <c r="G18" i="9"/>
  <c r="H18" i="9" s="1"/>
  <c r="G19" i="9"/>
  <c r="H19" i="9" s="1"/>
  <c r="G20" i="9"/>
  <c r="H20" i="9" s="1"/>
  <c r="G21" i="9"/>
  <c r="H21" i="9" s="1"/>
  <c r="G22" i="9"/>
  <c r="H22" i="9" s="1"/>
  <c r="G23" i="9"/>
  <c r="H23" i="9" s="1"/>
  <c r="G24" i="9"/>
  <c r="H24" i="9" s="1"/>
  <c r="G25" i="9"/>
  <c r="H25" i="9" s="1"/>
  <c r="G26" i="9"/>
  <c r="H26" i="9" s="1"/>
  <c r="G27" i="9"/>
  <c r="H27" i="9" s="1"/>
  <c r="G28" i="9"/>
  <c r="H28" i="9" s="1"/>
  <c r="G29" i="9"/>
  <c r="H29" i="9" s="1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C9" i="8"/>
  <c r="C6" i="8"/>
  <c r="C7" i="8"/>
  <c r="C8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E17" i="4"/>
  <c r="E13" i="4"/>
  <c r="G14" i="2"/>
  <c r="M11" i="13"/>
  <c r="M9" i="12"/>
  <c r="D17" i="3"/>
  <c r="C5" i="8"/>
  <c r="E5" i="8"/>
  <c r="E6" i="8"/>
  <c r="G6" i="8" s="1"/>
  <c r="H6" i="8" s="1"/>
  <c r="E7" i="8"/>
  <c r="E8" i="8"/>
  <c r="E9" i="8"/>
  <c r="E10" i="8"/>
  <c r="G10" i="8" s="1"/>
  <c r="H10" i="8" s="1"/>
  <c r="E11" i="8"/>
  <c r="E12" i="8"/>
  <c r="E13" i="8"/>
  <c r="E14" i="8"/>
  <c r="G14" i="8" s="1"/>
  <c r="H14" i="8" s="1"/>
  <c r="E15" i="8"/>
  <c r="E16" i="8"/>
  <c r="E17" i="8"/>
  <c r="E18" i="8"/>
  <c r="G18" i="8" s="1"/>
  <c r="H18" i="8" s="1"/>
  <c r="E19" i="8"/>
  <c r="E20" i="8"/>
  <c r="E21" i="8"/>
  <c r="E22" i="8"/>
  <c r="E23" i="8"/>
  <c r="E24" i="8"/>
  <c r="E25" i="8"/>
  <c r="E26" i="8"/>
  <c r="E27" i="8"/>
  <c r="E28" i="8"/>
  <c r="E11" i="7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G24" i="8" l="1"/>
  <c r="H24" i="8" s="1"/>
  <c r="G16" i="8"/>
  <c r="H16" i="8" s="1"/>
  <c r="G8" i="8"/>
  <c r="H8" i="8" s="1"/>
  <c r="G28" i="8"/>
  <c r="H28" i="8" s="1"/>
  <c r="G20" i="8"/>
  <c r="H20" i="8" s="1"/>
  <c r="G12" i="8"/>
  <c r="H12" i="8" s="1"/>
  <c r="L5" i="11"/>
  <c r="M5" i="11" s="1"/>
  <c r="G25" i="8"/>
  <c r="H25" i="8" s="1"/>
  <c r="G13" i="8"/>
  <c r="H13" i="8" s="1"/>
  <c r="G9" i="8"/>
  <c r="H9" i="8" s="1"/>
  <c r="G21" i="8"/>
  <c r="H21" i="8" s="1"/>
  <c r="G17" i="8"/>
  <c r="H17" i="8" s="1"/>
  <c r="G5" i="8"/>
  <c r="H5" i="8" s="1"/>
  <c r="G27" i="8"/>
  <c r="H27" i="8" s="1"/>
  <c r="G23" i="8"/>
  <c r="H23" i="8" s="1"/>
  <c r="G19" i="8"/>
  <c r="H19" i="8" s="1"/>
  <c r="G15" i="8"/>
  <c r="H15" i="8" s="1"/>
  <c r="G11" i="8"/>
  <c r="H11" i="8" s="1"/>
  <c r="G7" i="8"/>
  <c r="H7" i="8" s="1"/>
  <c r="G26" i="8"/>
  <c r="H26" i="8" s="1"/>
  <c r="G22" i="8"/>
  <c r="H22" i="8" s="1"/>
  <c r="L5" i="10"/>
  <c r="L5" i="13"/>
  <c r="M5" i="13" s="1"/>
  <c r="L7" i="13"/>
  <c r="L6" i="13"/>
  <c r="M6" i="13" s="1"/>
  <c r="M7" i="13"/>
  <c r="L5" i="12"/>
  <c r="M5" i="12" s="1"/>
  <c r="L6" i="11"/>
  <c r="L7" i="11"/>
  <c r="M7" i="11" s="1"/>
  <c r="L9" i="11"/>
  <c r="L8" i="11"/>
  <c r="M6" i="11"/>
  <c r="L6" i="10"/>
  <c r="L9" i="10"/>
  <c r="L11" i="10"/>
  <c r="M11" i="10" s="1"/>
  <c r="L7" i="10"/>
  <c r="M7" i="10" s="1"/>
  <c r="L8" i="10"/>
  <c r="M10" i="10" s="1"/>
  <c r="L10" i="10"/>
  <c r="M33" i="9"/>
  <c r="M14" i="10"/>
  <c r="L19" i="9"/>
  <c r="L22" i="9"/>
  <c r="L21" i="9"/>
  <c r="L17" i="9"/>
  <c r="L20" i="9"/>
  <c r="L28" i="9"/>
  <c r="L18" i="9"/>
  <c r="L25" i="9"/>
  <c r="L29" i="9"/>
  <c r="L14" i="9"/>
  <c r="L15" i="9"/>
  <c r="L26" i="9"/>
  <c r="L8" i="9"/>
  <c r="L7" i="9"/>
  <c r="L6" i="9"/>
  <c r="M6" i="9" s="1"/>
  <c r="L23" i="9"/>
  <c r="L5" i="9"/>
  <c r="L16" i="9"/>
  <c r="L24" i="9"/>
  <c r="L13" i="9"/>
  <c r="L9" i="9"/>
  <c r="L10" i="9"/>
  <c r="L11" i="9"/>
  <c r="L12" i="9"/>
  <c r="L27" i="9"/>
  <c r="M10" i="13"/>
  <c r="M8" i="12"/>
  <c r="M11" i="11"/>
  <c r="M6" i="10" l="1"/>
  <c r="M10" i="11"/>
  <c r="E11" i="3" s="1"/>
  <c r="M10" i="9"/>
  <c r="M22" i="9"/>
  <c r="M18" i="9"/>
  <c r="M9" i="9"/>
  <c r="M5" i="9"/>
  <c r="M26" i="9"/>
  <c r="M17" i="9"/>
  <c r="M7" i="12"/>
  <c r="E12" i="3" s="1"/>
  <c r="M9" i="11"/>
  <c r="M13" i="10"/>
  <c r="E10" i="3" s="1"/>
  <c r="M29" i="9"/>
  <c r="M16" i="9"/>
  <c r="M24" i="9"/>
  <c r="M25" i="9"/>
  <c r="M12" i="9"/>
  <c r="M8" i="9"/>
  <c r="M21" i="9"/>
  <c r="M32" i="9"/>
  <c r="E26" i="3"/>
  <c r="M31" i="9"/>
  <c r="M9" i="13"/>
  <c r="E13" i="3" s="1"/>
  <c r="E27" i="3" l="1"/>
  <c r="E46" i="3"/>
  <c r="E48" i="3"/>
  <c r="E47" i="3"/>
  <c r="E44" i="3"/>
  <c r="E28" i="3"/>
  <c r="E6" i="4" s="1"/>
  <c r="E9" i="3" l="1"/>
  <c r="E17" i="3" s="1"/>
  <c r="E5" i="4" s="1"/>
  <c r="E8" i="4" s="1"/>
  <c r="E9" i="4" s="1"/>
  <c r="E33" i="3"/>
  <c r="I5" i="6" l="1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G31" i="2"/>
  <c r="I28" i="6" l="1"/>
  <c r="E12" i="4" l="1"/>
  <c r="E11" i="4" s="1"/>
  <c r="E15" i="4" s="1"/>
  <c r="E21" i="4" s="1"/>
  <c r="E23" i="4" s="1"/>
  <c r="E25" i="4" s="1"/>
  <c r="G32" i="2"/>
  <c r="G33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Estevão Tavares</author>
  </authors>
  <commentList>
    <comment ref="C11" authorId="0" shapeId="0" xr:uid="{2E9A8C8A-F461-4DF0-BBEE-47DB672F926F}">
      <text>
        <r>
          <rPr>
            <b/>
            <sz val="9"/>
            <color indexed="81"/>
            <rFont val="Segoe UI"/>
            <charset val="1"/>
          </rPr>
          <t>Estevão Tavares:</t>
        </r>
        <r>
          <rPr>
            <sz val="9"/>
            <color indexed="81"/>
            <rFont val="Segoe UI"/>
            <charset val="1"/>
          </rPr>
          <t xml:space="preserve">
Colocar descrição da despesa na coluna de observação
</t>
        </r>
      </text>
    </comment>
    <comment ref="C19" authorId="0" shapeId="0" xr:uid="{0244FB9D-2DBF-4C89-AFC8-4318C5244745}">
      <text>
        <r>
          <rPr>
            <b/>
            <sz val="9"/>
            <color indexed="81"/>
            <rFont val="Segoe UI"/>
            <charset val="1"/>
          </rPr>
          <t>Estevão Tavares:</t>
        </r>
        <r>
          <rPr>
            <sz val="9"/>
            <color indexed="81"/>
            <rFont val="Segoe UI"/>
            <charset val="1"/>
          </rPr>
          <t xml:space="preserve">
Colocar descrição da despesa na coluna de observação
</t>
        </r>
      </text>
    </comment>
    <comment ref="C27" authorId="0" shapeId="0" xr:uid="{4BAEE6B0-829A-4E63-A5FD-FFA0DA34369F}">
      <text>
        <r>
          <rPr>
            <b/>
            <sz val="9"/>
            <color indexed="81"/>
            <rFont val="Segoe UI"/>
            <charset val="1"/>
          </rPr>
          <t>Estevão Tavares:</t>
        </r>
        <r>
          <rPr>
            <sz val="9"/>
            <color indexed="81"/>
            <rFont val="Segoe UI"/>
            <charset val="1"/>
          </rPr>
          <t xml:space="preserve">
Colocar descrição da despesa na coluna de observação
</t>
        </r>
      </text>
    </comment>
    <comment ref="B29" authorId="0" shapeId="0" xr:uid="{78F612ED-E168-4A14-8CBE-8FC768171DE3}">
      <text>
        <r>
          <rPr>
            <b/>
            <sz val="9"/>
            <color indexed="81"/>
            <rFont val="Segoe UI"/>
            <charset val="1"/>
          </rPr>
          <t>Estevão Tavares:</t>
        </r>
        <r>
          <rPr>
            <sz val="9"/>
            <color indexed="81"/>
            <rFont val="Segoe UI"/>
            <charset val="1"/>
          </rPr>
          <t xml:space="preserve">
Colocar descrição da despesa na coluna de observação
</t>
        </r>
      </text>
    </comment>
  </commentList>
</comments>
</file>

<file path=xl/sharedStrings.xml><?xml version="1.0" encoding="utf-8"?>
<sst xmlns="http://schemas.openxmlformats.org/spreadsheetml/2006/main" count="488" uniqueCount="153">
  <si>
    <t>Resultados</t>
  </si>
  <si>
    <t>Manutenção de Equipamentos</t>
  </si>
  <si>
    <t>Impostos</t>
  </si>
  <si>
    <t>Limpeza</t>
  </si>
  <si>
    <t>Aluguel Loja</t>
  </si>
  <si>
    <t>Seguros</t>
  </si>
  <si>
    <t>Outros</t>
  </si>
  <si>
    <t>Compras Mercadorias</t>
  </si>
  <si>
    <t>Investimentos</t>
  </si>
  <si>
    <t>Controle de Estoque</t>
  </si>
  <si>
    <t>Salários</t>
  </si>
  <si>
    <t>Bonificações</t>
  </si>
  <si>
    <t>Vales (Refeição, Transporte)</t>
  </si>
  <si>
    <t>Informática</t>
  </si>
  <si>
    <t>Serviços Terceirizados</t>
  </si>
  <si>
    <t>Escritório Contábil</t>
  </si>
  <si>
    <t>Escritório Advocacia</t>
  </si>
  <si>
    <t>Entregas</t>
  </si>
  <si>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</si>
  <si>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</si>
  <si>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</si>
  <si>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</si>
  <si>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</si>
  <si>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</si>
  <si>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</si>
  <si>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</si>
  <si>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</si>
  <si>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</si>
  <si>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</si>
  <si>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</si>
  <si>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</si>
  <si>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</si>
  <si>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</si>
  <si>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</si>
  <si>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</si>
  <si>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</si>
  <si>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</si>
  <si>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</si>
  <si>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</si>
  <si>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</si>
  <si>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Despesas</t>
  </si>
  <si>
    <t>Despesas de Funcionament0</t>
  </si>
  <si>
    <t>Itens Despesas</t>
  </si>
  <si>
    <t>Data</t>
  </si>
  <si>
    <t>Observação</t>
  </si>
  <si>
    <t>Valor Intermediário</t>
  </si>
  <si>
    <t>Valor Final</t>
  </si>
  <si>
    <t>Funcionário</t>
  </si>
  <si>
    <t>Férias, Licença Maternidade</t>
  </si>
  <si>
    <t>Água</t>
  </si>
  <si>
    <t>Luz</t>
  </si>
  <si>
    <t>Gás</t>
  </si>
  <si>
    <t>Telefone</t>
  </si>
  <si>
    <t>Despesas Funcionamento</t>
  </si>
  <si>
    <t>Total de Despesas Funcionamento</t>
  </si>
  <si>
    <t>Fornecedor</t>
  </si>
  <si>
    <t>Mercadoria</t>
  </si>
  <si>
    <t>Medida</t>
  </si>
  <si>
    <t>Quantidade</t>
  </si>
  <si>
    <t>Preço Unitário</t>
  </si>
  <si>
    <t>Desconto</t>
  </si>
  <si>
    <t>Valor Pago</t>
  </si>
  <si>
    <t>Produtos</t>
  </si>
  <si>
    <t>Preço de Compra Unitário</t>
  </si>
  <si>
    <t>Preço de Venda Unitário</t>
  </si>
  <si>
    <t>Unidade</t>
  </si>
  <si>
    <t>Pacote</t>
  </si>
  <si>
    <t>Kg</t>
  </si>
  <si>
    <t>Leite</t>
  </si>
  <si>
    <t>Litro</t>
  </si>
  <si>
    <t>Lata</t>
  </si>
  <si>
    <t>Barra</t>
  </si>
  <si>
    <t>Maço</t>
  </si>
  <si>
    <t>Pão de Forma</t>
  </si>
  <si>
    <t>Refrigerante</t>
  </si>
  <si>
    <t>Garrafa</t>
  </si>
  <si>
    <t>Regiões de Entrega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</si>
  <si>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</si>
  <si>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</si>
  <si>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</si>
  <si>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</si>
  <si>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</si>
  <si>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</si>
  <si>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</si>
  <si>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</si>
  <si>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</si>
  <si>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</si>
  <si>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t>Total de Compra de Mercadorias</t>
  </si>
  <si>
    <t>Total de Despesas</t>
  </si>
  <si>
    <t>Investimento</t>
  </si>
  <si>
    <t>Investimento Inícial</t>
  </si>
  <si>
    <t>Equipamentos</t>
  </si>
  <si>
    <t>Estrutura</t>
  </si>
  <si>
    <t>Descrição</t>
  </si>
  <si>
    <t>Valor</t>
  </si>
  <si>
    <t>Total de Investimento</t>
  </si>
  <si>
    <t>Produto</t>
  </si>
  <si>
    <t>Data da Última Compra</t>
  </si>
  <si>
    <t>Quantidade Inicial</t>
  </si>
  <si>
    <t>Quantidade Comprada</t>
  </si>
  <si>
    <t>Quantidade Vendida</t>
  </si>
  <si>
    <t>Quantidade Atual</t>
  </si>
  <si>
    <t>Situação</t>
  </si>
  <si>
    <t xml:space="preserve"> Vendas Semana 1</t>
  </si>
  <si>
    <t>Id da Venda</t>
  </si>
  <si>
    <t>SubTotal</t>
  </si>
  <si>
    <t>Entrega</t>
  </si>
  <si>
    <t>Valor da Entrega</t>
  </si>
  <si>
    <t>Total</t>
  </si>
  <si>
    <t>Total para Cliente</t>
  </si>
  <si>
    <t xml:space="preserve"> </t>
  </si>
  <si>
    <t>Preço</t>
  </si>
  <si>
    <t>Centro</t>
  </si>
  <si>
    <t>Loja</t>
  </si>
  <si>
    <t>Zona Norte</t>
  </si>
  <si>
    <t>Zona Oeste</t>
  </si>
  <si>
    <t>Zona Sul</t>
  </si>
  <si>
    <t>Receita de vendas da semana</t>
  </si>
  <si>
    <t>Receita de entregas</t>
  </si>
  <si>
    <t xml:space="preserve"> Vendas Semana 2</t>
  </si>
  <si>
    <t xml:space="preserve"> Vendas Semana 3</t>
  </si>
  <si>
    <t xml:space="preserve"> Vendas Semana 4</t>
  </si>
  <si>
    <t xml:space="preserve"> Vendas Semana 5</t>
  </si>
  <si>
    <t>Ticket Médio</t>
  </si>
  <si>
    <t>Quantidade de vendas</t>
  </si>
  <si>
    <t xml:space="preserve"> Vendas </t>
  </si>
  <si>
    <t>Total de Vendas Semana 1</t>
  </si>
  <si>
    <t>Total de Vendas Semana 2</t>
  </si>
  <si>
    <t>Total de Vendas Semana 3</t>
  </si>
  <si>
    <t>Total de Vendas Semana 4</t>
  </si>
  <si>
    <t>Total de Vendas Semana 5</t>
  </si>
  <si>
    <t>Julho</t>
  </si>
  <si>
    <t>Vendas por Entrega(%)</t>
  </si>
  <si>
    <t>Vendas por Entrega(R$)</t>
  </si>
  <si>
    <t>Receita Entregas(R$)</t>
  </si>
  <si>
    <t>Número de Vendas</t>
  </si>
  <si>
    <t>Total de Receitas</t>
  </si>
  <si>
    <t>Imposto sobre Receita</t>
  </si>
  <si>
    <t>Receita Liquida</t>
  </si>
  <si>
    <t>Resultado Bruto</t>
  </si>
  <si>
    <t>Despreciação e Amortização</t>
  </si>
  <si>
    <t>Resultado antes do Imposto</t>
  </si>
  <si>
    <t>Imposto</t>
  </si>
  <si>
    <t>Resultado Liquido</t>
  </si>
  <si>
    <t>Receita Mercadoria</t>
  </si>
  <si>
    <t>Receita das Entregas</t>
  </si>
  <si>
    <t>Despesas Mercadorias</t>
  </si>
  <si>
    <t>Despesas das Entregas</t>
  </si>
  <si>
    <t>Rótulos de Linha</t>
  </si>
  <si>
    <t>Total Geral</t>
  </si>
  <si>
    <t>Soma de Quantidade</t>
  </si>
  <si>
    <t>Soma de Total</t>
  </si>
  <si>
    <t>Soma de Valor da Entrega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</si>
</sst>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Impact"/>
      <family val="2"/>
    </font>
    <font>
      <sz val="16"/>
      <color theme="0" tint="-4.9989318521683403E-2"/>
      <name val="Impact"/>
      <family val="2"/>
    </font>
    <font>
      <b/>
      <sz val="11"/>
      <color theme="1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6"/>
      <color theme="1" tint="4.9989318521683403E-2"/>
      <name val="Calibri"/>
      <family val="2"/>
      <scheme val="minor"/>
    </font>
    <font>
      <b/>
      <sz val="16"/>
      <color rgb="FF5944F2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  <font>
      <sz val="8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4"/>
      <color theme="9" tint="-0.249977111117893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5944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ck">
        <color theme="9"/>
      </bottom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/>
      <diagonal/>
    </border>
    <border>
      <left/>
      <right/>
      <top style="thin">
        <color theme="9" tint="-0.24994659260841701"/>
      </top>
      <bottom/>
      <diagonal/>
    </border>
    <border>
      <left/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/>
      <top/>
      <bottom/>
      <diagonal/>
    </border>
    <border>
      <left/>
      <right style="thin">
        <color theme="9" tint="-0.24994659260841701"/>
      </right>
      <top/>
      <bottom/>
      <diagonal/>
    </border>
    <border>
      <left style="thin">
        <color theme="9" tint="-0.24994659260841701"/>
      </left>
      <right/>
      <top/>
      <bottom style="thin">
        <color theme="9" tint="-0.24994659260841701"/>
      </bottom>
      <diagonal/>
    </border>
    <border>
      <left/>
      <right/>
      <top/>
      <bottom style="thin">
        <color theme="9" tint="-0.24994659260841701"/>
      </bottom>
      <diagonal/>
    </border>
    <border>
      <left/>
      <right style="thin">
        <color theme="9" tint="-0.24994659260841701"/>
      </right>
      <top/>
      <bottom style="thin">
        <color theme="9" tint="-0.24994659260841701"/>
      </bottom>
      <diagonal/>
    </border>
    <border>
      <left/>
      <right/>
      <top/>
      <bottom style="double">
        <color theme="9"/>
      </bottom>
      <diagonal/>
    </border>
    <border>
      <left/>
      <right/>
      <top style="thick">
        <color theme="9"/>
      </top>
      <bottom style="double">
        <color theme="9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3" fillId="2" borderId="0" xfId="0" applyFont="1" applyFill="1" applyAlignment="1">
      <alignment vertical="center"/>
    </xf>
    <xf numFmtId="0" fontId="0" fillId="0" borderId="0" xfId="0" applyFill="1"/>
    <xf numFmtId="44" fontId="0" fillId="0" borderId="0" xfId="1" applyFont="1" applyFill="1"/>
    <xf numFmtId="44" fontId="0" fillId="0" borderId="0" xfId="1" applyFont="1"/>
    <xf numFmtId="44" fontId="0" fillId="0" borderId="0" xfId="0" applyNumberFormat="1"/>
    <xf numFmtId="0" fontId="3" fillId="0" borderId="0" xfId="0" applyFont="1"/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9" fontId="0" fillId="0" borderId="0" xfId="2" applyFont="1"/>
    <xf numFmtId="14" fontId="0" fillId="0" borderId="0" xfId="0" applyNumberFormat="1"/>
    <xf numFmtId="0" fontId="4" fillId="0" borderId="0" xfId="0" applyFont="1"/>
    <xf numFmtId="0" fontId="7" fillId="0" borderId="1" xfId="0" applyFont="1" applyBorder="1"/>
    <xf numFmtId="44" fontId="7" fillId="0" borderId="1" xfId="1" applyFont="1" applyBorder="1"/>
    <xf numFmtId="0" fontId="5" fillId="4" borderId="1" xfId="0" applyFont="1" applyFill="1" applyBorder="1"/>
    <xf numFmtId="44" fontId="5" fillId="4" borderId="1" xfId="0" applyNumberFormat="1" applyFont="1" applyFill="1" applyBorder="1"/>
    <xf numFmtId="0" fontId="5" fillId="0" borderId="1" xfId="0" applyFont="1" applyBorder="1"/>
    <xf numFmtId="44" fontId="5" fillId="0" borderId="1" xfId="1" applyFont="1" applyBorder="1"/>
    <xf numFmtId="44" fontId="5" fillId="0" borderId="1" xfId="0" applyNumberFormat="1" applyFont="1" applyBorder="1"/>
    <xf numFmtId="0" fontId="2" fillId="5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0" borderId="0" xfId="0" applyAlignment="1">
      <alignment vertical="center" wrapText="1"/>
    </xf>
    <xf numFmtId="0" fontId="6" fillId="0" borderId="1" xfId="0" applyFont="1" applyBorder="1"/>
    <xf numFmtId="44" fontId="6" fillId="0" borderId="1" xfId="0" applyNumberFormat="1" applyFont="1" applyBorder="1"/>
    <xf numFmtId="44" fontId="0" fillId="0" borderId="0" xfId="1" applyFont="1" applyAlignment="1">
      <alignment vertical="center"/>
    </xf>
    <xf numFmtId="0" fontId="2" fillId="6" borderId="0" xfId="0" applyFont="1" applyFill="1" applyAlignment="1">
      <alignment vertical="center"/>
    </xf>
    <xf numFmtId="0" fontId="3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2" fillId="7" borderId="0" xfId="0" applyFont="1" applyFill="1" applyAlignment="1">
      <alignment vertical="center"/>
    </xf>
    <xf numFmtId="0" fontId="3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8" fillId="0" borderId="1" xfId="0" applyFont="1" applyBorder="1"/>
    <xf numFmtId="44" fontId="8" fillId="0" borderId="1" xfId="0" applyNumberFormat="1" applyFont="1" applyBorder="1"/>
    <xf numFmtId="14" fontId="0" fillId="0" borderId="6" xfId="0" applyNumberFormat="1" applyBorder="1"/>
    <xf numFmtId="0" fontId="0" fillId="0" borderId="0" xfId="0" applyNumberFormat="1"/>
    <xf numFmtId="44" fontId="0" fillId="0" borderId="0" xfId="1" applyNumberFormat="1" applyFont="1"/>
    <xf numFmtId="0" fontId="10" fillId="0" borderId="0" xfId="0" applyFont="1"/>
    <xf numFmtId="0" fontId="8" fillId="0" borderId="7" xfId="0" applyFont="1" applyBorder="1"/>
    <xf numFmtId="0" fontId="8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0" fillId="0" borderId="0" xfId="0" applyFont="1" applyBorder="1"/>
    <xf numFmtId="0" fontId="11" fillId="0" borderId="11" xfId="0" applyFont="1" applyBorder="1"/>
    <xf numFmtId="44" fontId="11" fillId="0" borderId="11" xfId="0" applyNumberFormat="1" applyFont="1" applyBorder="1"/>
    <xf numFmtId="0" fontId="11" fillId="0" borderId="5" xfId="0" applyFont="1" applyBorder="1"/>
    <xf numFmtId="44" fontId="11" fillId="0" borderId="5" xfId="0" applyNumberFormat="1" applyFont="1" applyBorder="1"/>
    <xf numFmtId="0" fontId="11" fillId="0" borderId="3" xfId="0" applyFont="1" applyBorder="1"/>
    <xf numFmtId="44" fontId="11" fillId="0" borderId="3" xfId="0" applyNumberFormat="1" applyFont="1" applyBorder="1"/>
    <xf numFmtId="0" fontId="12" fillId="0" borderId="0" xfId="0" applyFon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44" fontId="8" fillId="0" borderId="0" xfId="0" applyNumberFormat="1" applyFont="1" applyBorder="1"/>
    <xf numFmtId="0" fontId="11" fillId="0" borderId="0" xfId="0" applyFont="1" applyBorder="1"/>
    <xf numFmtId="44" fontId="11" fillId="0" borderId="0" xfId="0" applyNumberFormat="1" applyFont="1" applyBorder="1"/>
    <xf numFmtId="9" fontId="11" fillId="0" borderId="11" xfId="2" applyFont="1" applyBorder="1"/>
    <xf numFmtId="44" fontId="11" fillId="0" borderId="5" xfId="1" applyFont="1" applyBorder="1"/>
    <xf numFmtId="44" fontId="11" fillId="0" borderId="3" xfId="1" applyFont="1" applyBorder="1"/>
    <xf numFmtId="0" fontId="8" fillId="0" borderId="1" xfId="0" applyNumberFormat="1" applyFont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8" xfId="0" applyFill="1" applyBorder="1"/>
    <xf numFmtId="0" fontId="0" fillId="0" borderId="0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13" fillId="0" borderId="11" xfId="0" applyFont="1" applyBorder="1"/>
    <xf numFmtId="0" fontId="13" fillId="0" borderId="5" xfId="0" applyFont="1" applyBorder="1"/>
    <xf numFmtId="0" fontId="13" fillId="0" borderId="3" xfId="0" applyFont="1" applyBorder="1"/>
    <xf numFmtId="0" fontId="2" fillId="8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14" fillId="0" borderId="11" xfId="0" applyFont="1" applyBorder="1"/>
    <xf numFmtId="44" fontId="14" fillId="0" borderId="11" xfId="1" applyFont="1" applyBorder="1"/>
    <xf numFmtId="0" fontId="14" fillId="0" borderId="0" xfId="0" applyFont="1"/>
    <xf numFmtId="0" fontId="14" fillId="0" borderId="5" xfId="0" applyFont="1" applyBorder="1"/>
    <xf numFmtId="44" fontId="14" fillId="0" borderId="5" xfId="1" applyFont="1" applyBorder="1"/>
    <xf numFmtId="44" fontId="14" fillId="0" borderId="0" xfId="1" applyFont="1"/>
    <xf numFmtId="0" fontId="14" fillId="0" borderId="7" xfId="0" applyFont="1" applyBorder="1"/>
    <xf numFmtId="44" fontId="14" fillId="0" borderId="7" xfId="1" applyFont="1" applyBorder="1"/>
    <xf numFmtId="0" fontId="14" fillId="0" borderId="22" xfId="0" applyFont="1" applyBorder="1"/>
    <xf numFmtId="44" fontId="14" fillId="0" borderId="22" xfId="1" applyFont="1" applyBorder="1"/>
    <xf numFmtId="0" fontId="14" fillId="0" borderId="21" xfId="0" applyFont="1" applyBorder="1"/>
    <xf numFmtId="44" fontId="14" fillId="0" borderId="21" xfId="1" applyFont="1" applyBorder="1"/>
    <xf numFmtId="14" fontId="0" fillId="0" borderId="6" xfId="0" applyNumberFormat="1" applyFill="1" applyBorder="1"/>
    <xf numFmtId="0" fontId="0" fillId="0" borderId="0" xfId="0" applyNumberFormat="1" applyFill="1"/>
    <xf numFmtId="44" fontId="0" fillId="0" borderId="0" xfId="1" applyNumberFormat="1" applyFont="1" applyFill="1"/>
    <xf numFmtId="9" fontId="0" fillId="0" borderId="0" xfId="2" applyFont="1" applyFill="1"/>
    <xf numFmtId="14" fontId="0" fillId="0" borderId="0" xfId="0" applyNumberFormat="1" applyFill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60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8353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 tint="-4.9989318521683403E-2"/>
      </font>
      <fill>
        <patternFill>
          <bgColor rgb="FFFFC000"/>
        </patternFill>
      </fill>
    </dxf>
    <dxf>
      <numFmt numFmtId="0" formatCode="General"/>
    </dxf>
    <dxf>
      <numFmt numFmtId="34" formatCode="_-&quot;R$&quot;\ * #,##0.00_-;\-&quot;R$&quot;\ * #,##0.00_-;_-&quot;R$&quot;\ * &quot;-&quot;??_-;_-@_-"/>
    </dxf>
    <dxf>
      <fill>
        <patternFill patternType="none">
          <fgColor indexed="64"/>
          <bgColor auto="1"/>
        </patternFill>
      </fill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0" formatCode="General"/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ill>
        <patternFill patternType="none">
          <fgColor indexed="64"/>
          <bgColor auto="1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fgColor indexed="64"/>
          <bgColor theme="9" tint="-0.249977111117893"/>
        </patternFill>
      </fill>
    </dxf>
    <dxf>
      <numFmt numFmtId="34" formatCode="_-&quot;R$&quot;\ * #,##0.00_-;\-&quot;R$&quot;\ * #,##0.00_-;_-&quot;R$&quot;\ * &quot;-&quot;??_-;_-@_-"/>
    </dxf>
    <dxf>
      <numFmt numFmtId="19" formatCode="dd/mm/yyyy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fill>
        <patternFill patternType="solid">
          <fgColor indexed="64"/>
          <bgColor theme="9" tint="-0.249977111117893"/>
        </patternFill>
      </fill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9" formatCode="dd/mm/yyyy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19" formatCode="dd/mm/yyyy"/>
    </dxf>
    <dxf>
      <fill>
        <patternFill patternType="solid">
          <fgColor indexed="64"/>
          <bgColor rgb="FFFF0000"/>
        </patternFill>
      </fill>
    </dxf>
  </dxfs>
  <tableStyles count="0" defaultTableStyle="TableStyleMedium2" defaultPivotStyle="PivotStyleLight16"/>
  <colors>
    <mruColors>
      <color rgb="FFF83530"/>
      <color rgb="FFB2B2B2"/>
      <color rgb="FF3F07DD"/>
      <color rgb="FFFF0000"/>
      <color rgb="FF5944F2"/>
      <color rgb="FFF68282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64860603204065"/>
          <c:y val="7.1708670820499643E-2"/>
          <c:w val="0.82132618843896632"/>
          <c:h val="0.7974978190965271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Vendas!$D$9:$D$13</c:f>
              <c:strCache>
                <c:ptCount val="5"/>
                <c:pt idx="0">
                  <c:v>Total de Vendas Semana 1</c:v>
                </c:pt>
                <c:pt idx="1">
                  <c:v>Total de Vendas Semana 2</c:v>
                </c:pt>
                <c:pt idx="2">
                  <c:v>Total de Vendas Semana 3</c:v>
                </c:pt>
                <c:pt idx="3">
                  <c:v>Total de Vendas Semana 4</c:v>
                </c:pt>
                <c:pt idx="4">
                  <c:v>Total de Vendas Semana 5</c:v>
                </c:pt>
              </c:strCache>
            </c:strRef>
          </c:cat>
          <c:val>
            <c:numRef>
              <c:f>Vendas!$E$9:$E$13</c:f>
              <c:numCache>
                <c:formatCode>_("R$"* #,##0.00_);_("R$"* \(#,##0.00\);_("R$"* "-"??_);_(@_)</c:formatCode>
                <c:ptCount val="5"/>
                <c:pt idx="0">
                  <c:v>670.84630000000016</c:v>
                </c:pt>
                <c:pt idx="1">
                  <c:v>322.11999999999995</c:v>
                </c:pt>
                <c:pt idx="2">
                  <c:v>42.390000000000008</c:v>
                </c:pt>
                <c:pt idx="3">
                  <c:v>26.450000000000003</c:v>
                </c:pt>
                <c:pt idx="4">
                  <c:v>33.130000000000003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ED-4129-BB52-5819FF813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12792064"/>
        <c:axId val="212793984"/>
      </c:barChart>
      <c:catAx>
        <c:axId val="21279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793984"/>
        <c:crosses val="autoZero"/>
        <c:auto val="1"/>
        <c:lblAlgn val="ctr"/>
        <c:lblOffset val="100"/>
        <c:noMultiLvlLbl val="0"/>
      </c:catAx>
      <c:valAx>
        <c:axId val="21279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79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Vendas!$D$27:$D$28</c:f>
              <c:strCache>
                <c:ptCount val="2"/>
                <c:pt idx="0">
                  <c:v>Vendas por Entrega(R$)</c:v>
                </c:pt>
                <c:pt idx="1">
                  <c:v>Receita Entregas(R$)</c:v>
                </c:pt>
              </c:strCache>
            </c:strRef>
          </c:cat>
          <c:val>
            <c:numRef>
              <c:f>Vendas!$E$27:$E$28</c:f>
              <c:numCache>
                <c:formatCode>_("R$"* #,##0.00_);_("R$"* \(#,##0.00\);_("R$"* "-"??_);_(@_)</c:formatCode>
                <c:ptCount val="2"/>
                <c:pt idx="0">
                  <c:v>342.90999999999997</c:v>
                </c:pt>
                <c:pt idx="1">
                  <c:v>95.5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2-4E8B-8FC3-BC732695C71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376882720"/>
        <c:axId val="376883200"/>
      </c:barChart>
      <c:catAx>
        <c:axId val="3768827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6883200"/>
        <c:crosses val="autoZero"/>
        <c:auto val="1"/>
        <c:lblAlgn val="ctr"/>
        <c:lblOffset val="100"/>
        <c:noMultiLvlLbl val="0"/>
      </c:catAx>
      <c:valAx>
        <c:axId val="37688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688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Vendas!$D$44:$D$48</c:f>
              <c:strCache>
                <c:ptCount val="5"/>
                <c:pt idx="0">
                  <c:v>Loja</c:v>
                </c:pt>
                <c:pt idx="1">
                  <c:v>Centro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Vendas!$E$44:$E$48</c:f>
              <c:numCache>
                <c:formatCode>General</c:formatCode>
                <c:ptCount val="5"/>
                <c:pt idx="0">
                  <c:v>11</c:v>
                </c:pt>
                <c:pt idx="1">
                  <c:v>0</c:v>
                </c:pt>
                <c:pt idx="2">
                  <c:v>5</c:v>
                </c:pt>
                <c:pt idx="3">
                  <c:v>3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F-4BF7-9294-55DB2E2FFDA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ntrole de Estoque'!A1"/><Relationship Id="rId2" Type="http://schemas.openxmlformats.org/officeDocument/2006/relationships/hyperlink" Target="#Investimentos!A1"/><Relationship Id="rId1" Type="http://schemas.openxmlformats.org/officeDocument/2006/relationships/hyperlink" Target="#'Compras Mercadorias'!A1"/><Relationship Id="rId6" Type="http://schemas.openxmlformats.org/officeDocument/2006/relationships/hyperlink" Target="#Vendas!A1"/><Relationship Id="rId5" Type="http://schemas.openxmlformats.org/officeDocument/2006/relationships/hyperlink" Target="#Resultados!A1"/><Relationship Id="rId4" Type="http://schemas.openxmlformats.org/officeDocument/2006/relationships/hyperlink" Target="#'Despesas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2" Type="http://schemas.openxmlformats.org/officeDocument/2006/relationships/hyperlink" Target="#'Compras Mercadorias'!A1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Despesas '!A1"/><Relationship Id="rId2" Type="http://schemas.openxmlformats.org/officeDocument/2006/relationships/hyperlink" Target="#'Controle de Estoque'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'Compras Mercadorias'!A1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Semana 1'!A1"/><Relationship Id="rId3" Type="http://schemas.openxmlformats.org/officeDocument/2006/relationships/chart" Target="../charts/chart3.xml"/><Relationship Id="rId7" Type="http://schemas.openxmlformats.org/officeDocument/2006/relationships/hyperlink" Target="#'Semana 2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Resultados!A1"/><Relationship Id="rId11" Type="http://schemas.openxmlformats.org/officeDocument/2006/relationships/hyperlink" Target="#'Semana 5'!A1"/><Relationship Id="rId5" Type="http://schemas.openxmlformats.org/officeDocument/2006/relationships/hyperlink" Target="#Vendas!C56"/><Relationship Id="rId10" Type="http://schemas.openxmlformats.org/officeDocument/2006/relationships/hyperlink" Target="#'Semana 4'!A1"/><Relationship Id="rId4" Type="http://schemas.openxmlformats.org/officeDocument/2006/relationships/hyperlink" Target="#Menu!A1"/><Relationship Id="rId9" Type="http://schemas.openxmlformats.org/officeDocument/2006/relationships/hyperlink" Target="#'Semana 3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Despesas '!A1"/><Relationship Id="rId2" Type="http://schemas.openxmlformats.org/officeDocument/2006/relationships/hyperlink" Target="#Menu!A1"/><Relationship Id="rId1" Type="http://schemas.openxmlformats.org/officeDocument/2006/relationships/hyperlink" Target="#Vendas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Vendas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Semana 1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Vendas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Semana 2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Vendas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Semana 3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Vendas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'Semana 4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Vendas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'Semana 5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333597</xdr:colOff>
      <xdr:row>15</xdr:row>
      <xdr:rowOff>1</xdr:rowOff>
    </xdr:from>
    <xdr:to>
      <xdr:col>6</xdr:col>
      <xdr:colOff>9597</xdr:colOff>
      <xdr:row>17</xdr:row>
      <xdr:rowOff>180975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C4DCB9-138A-4FDC-B49F-7329D3B8643A}"/>
            </a:ext>
          </a:extLst>
        </xdr:cNvPr>
        <xdr:cNvSpPr/>
      </xdr:nvSpPr>
      <xdr:spPr>
        <a:xfrm>
          <a:off x="2162397" y="2857501"/>
          <a:ext cx="1504800" cy="561974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3F07DD"/>
              </a:solidFill>
              <a:latin typeface="Impact" panose="020B0806030902050204" pitchFamily="34" charset="0"/>
            </a:rPr>
            <a:t>Compras</a:t>
          </a:r>
          <a:r>
            <a:rPr lang="pt-BR" sz="1100" baseline="0">
              <a:solidFill>
                <a:srgbClr val="3F07DD"/>
              </a:solidFill>
              <a:latin typeface="Impact" panose="020B0806030902050204" pitchFamily="34" charset="0"/>
            </a:rPr>
            <a:t> Mercadorias</a:t>
          </a:r>
          <a:r>
            <a:rPr lang="pt-BR" sz="1100">
              <a:solidFill>
                <a:srgbClr val="3F07DD"/>
              </a:solidFill>
              <a:latin typeface="Impact" panose="020B0806030902050204" pitchFamily="34" charset="0"/>
            </a:rPr>
            <a:t> </a:t>
          </a:r>
        </a:p>
      </xdr:txBody>
    </xdr:sp>
    <xdr:clientData/>
  </xdr:twoCellAnchor>
  <xdr:twoCellAnchor>
    <xdr:from>
      <xdr:col>6</xdr:col>
      <xdr:colOff>76348</xdr:colOff>
      <xdr:row>15</xdr:row>
      <xdr:rowOff>9525</xdr:rowOff>
    </xdr:from>
    <xdr:to>
      <xdr:col>8</xdr:col>
      <xdr:colOff>361948</xdr:colOff>
      <xdr:row>18</xdr:row>
      <xdr:rowOff>0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D9624B-B9AB-4DD9-AEE2-AF09DC54F822}"/>
            </a:ext>
          </a:extLst>
        </xdr:cNvPr>
        <xdr:cNvSpPr/>
      </xdr:nvSpPr>
      <xdr:spPr>
        <a:xfrm>
          <a:off x="3733948" y="2867025"/>
          <a:ext cx="1504800" cy="561975"/>
        </a:xfrm>
        <a:prstGeom prst="rect">
          <a:avLst/>
        </a:prstGeom>
        <a:solidFill>
          <a:schemeClr val="bg1"/>
        </a:solidFill>
        <a:ln>
          <a:solidFill>
            <a:srgbClr val="B2B2B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75000"/>
                  <a:lumOff val="25000"/>
                </a:schemeClr>
              </a:solidFill>
              <a:latin typeface="Impact" panose="020B0806030902050204" pitchFamily="34" charset="0"/>
            </a:rPr>
            <a:t>Investimentos</a:t>
          </a:r>
          <a:r>
            <a:rPr lang="pt-BR" sz="1100">
              <a:solidFill>
                <a:schemeClr val="tx1">
                  <a:lumMod val="75000"/>
                  <a:lumOff val="25000"/>
                </a:schemeClr>
              </a:solidFill>
            </a:rPr>
            <a:t> </a:t>
          </a:r>
        </a:p>
      </xdr:txBody>
    </xdr:sp>
    <xdr:clientData/>
  </xdr:twoCellAnchor>
  <xdr:twoCellAnchor>
    <xdr:from>
      <xdr:col>8</xdr:col>
      <xdr:colOff>438150</xdr:colOff>
      <xdr:row>15</xdr:row>
      <xdr:rowOff>9525</xdr:rowOff>
    </xdr:from>
    <xdr:to>
      <xdr:col>11</xdr:col>
      <xdr:colOff>114150</xdr:colOff>
      <xdr:row>17</xdr:row>
      <xdr:rowOff>190125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23D6D0-CC60-46D8-A7B6-307B67286135}"/>
            </a:ext>
          </a:extLst>
        </xdr:cNvPr>
        <xdr:cNvSpPr/>
      </xdr:nvSpPr>
      <xdr:spPr>
        <a:xfrm>
          <a:off x="5314950" y="2867025"/>
          <a:ext cx="1504800" cy="561600"/>
        </a:xfrm>
        <a:prstGeom prst="rect">
          <a:avLst/>
        </a:prstGeom>
        <a:solidFill>
          <a:schemeClr val="bg1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4"/>
              </a:solidFill>
              <a:latin typeface="Impact" panose="020B0806030902050204" pitchFamily="34" charset="0"/>
            </a:rPr>
            <a:t>Controle</a:t>
          </a:r>
          <a:r>
            <a:rPr lang="pt-BR" sz="1100" baseline="0">
              <a:solidFill>
                <a:schemeClr val="accent4"/>
              </a:solidFill>
              <a:latin typeface="Impact" panose="020B0806030902050204" pitchFamily="34" charset="0"/>
            </a:rPr>
            <a:t> de Estoque</a:t>
          </a:r>
          <a:r>
            <a:rPr lang="pt-BR" sz="1100">
              <a:solidFill>
                <a:schemeClr val="accent4"/>
              </a:solidFill>
              <a:latin typeface="Impact" panose="020B0806030902050204" pitchFamily="34" charset="0"/>
            </a:rPr>
            <a:t> </a:t>
          </a:r>
        </a:p>
      </xdr:txBody>
    </xdr:sp>
    <xdr:clientData/>
  </xdr:twoCellAnchor>
  <xdr:twoCellAnchor>
    <xdr:from>
      <xdr:col>0</xdr:col>
      <xdr:colOff>571500</xdr:colOff>
      <xdr:row>15</xdr:row>
      <xdr:rowOff>0</xdr:rowOff>
    </xdr:from>
    <xdr:to>
      <xdr:col>3</xdr:col>
      <xdr:colOff>247650</xdr:colOff>
      <xdr:row>17</xdr:row>
      <xdr:rowOff>180974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58073D-D796-4231-9F05-A93663EB779F}"/>
            </a:ext>
          </a:extLst>
        </xdr:cNvPr>
        <xdr:cNvSpPr/>
      </xdr:nvSpPr>
      <xdr:spPr>
        <a:xfrm>
          <a:off x="571500" y="2857500"/>
          <a:ext cx="1504950" cy="561974"/>
        </a:xfrm>
        <a:prstGeom prst="rect">
          <a:avLst/>
        </a:prstGeom>
        <a:solidFill>
          <a:sysClr val="window" lastClr="FFFFFF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rgbClr val="FF0000"/>
              </a:solidFill>
              <a:latin typeface="Impact" panose="020B0806030902050204" pitchFamily="34" charset="0"/>
            </a:rPr>
            <a:t>Despesas</a:t>
          </a:r>
          <a:r>
            <a:rPr lang="pt-BR" sz="1100">
              <a:solidFill>
                <a:srgbClr val="FF0000"/>
              </a:solidFill>
            </a:rPr>
            <a:t> </a:t>
          </a:r>
        </a:p>
      </xdr:txBody>
    </xdr:sp>
    <xdr:clientData/>
  </xdr:twoCellAnchor>
  <xdr:twoCellAnchor>
    <xdr:from>
      <xdr:col>13</xdr:col>
      <xdr:colOff>561975</xdr:colOff>
      <xdr:row>15</xdr:row>
      <xdr:rowOff>9524</xdr:rowOff>
    </xdr:from>
    <xdr:to>
      <xdr:col>16</xdr:col>
      <xdr:colOff>237975</xdr:colOff>
      <xdr:row>18</xdr:row>
      <xdr:rowOff>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E18BB2E-7CF5-417A-B771-018E5F14CDC6}"/>
            </a:ext>
          </a:extLst>
        </xdr:cNvPr>
        <xdr:cNvSpPr/>
      </xdr:nvSpPr>
      <xdr:spPr>
        <a:xfrm>
          <a:off x="8486775" y="2867024"/>
          <a:ext cx="1504800" cy="561976"/>
        </a:xfrm>
        <a:prstGeom prst="rect">
          <a:avLst/>
        </a:prstGeom>
        <a:solidFill>
          <a:schemeClr val="bg1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>
                  <a:lumMod val="75000"/>
                </a:schemeClr>
              </a:solidFill>
              <a:latin typeface="Impact" panose="020B0806030902050204" pitchFamily="34" charset="0"/>
            </a:rPr>
            <a:t>Resultados</a:t>
          </a:r>
          <a:r>
            <a:rPr lang="pt-BR" sz="1100">
              <a:solidFill>
                <a:schemeClr val="accent6">
                  <a:lumMod val="75000"/>
                </a:schemeClr>
              </a:solidFill>
            </a:rPr>
            <a:t> </a:t>
          </a:r>
        </a:p>
      </xdr:txBody>
    </xdr:sp>
    <xdr:clientData/>
  </xdr:twoCellAnchor>
  <xdr:twoCellAnchor>
    <xdr:from>
      <xdr:col>11</xdr:col>
      <xdr:colOff>190426</xdr:colOff>
      <xdr:row>14</xdr:row>
      <xdr:rowOff>190499</xdr:rowOff>
    </xdr:from>
    <xdr:to>
      <xdr:col>13</xdr:col>
      <xdr:colOff>476026</xdr:colOff>
      <xdr:row>17</xdr:row>
      <xdr:rowOff>180599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44A06A4-0841-4FA8-9AD6-A2E26384DB50}"/>
            </a:ext>
          </a:extLst>
        </xdr:cNvPr>
        <xdr:cNvSpPr/>
      </xdr:nvSpPr>
      <xdr:spPr>
        <a:xfrm>
          <a:off x="6896026" y="2857499"/>
          <a:ext cx="1504800" cy="561600"/>
        </a:xfrm>
        <a:prstGeom prst="rect">
          <a:avLst/>
        </a:prstGeom>
        <a:solidFill>
          <a:schemeClr val="bg1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rgbClr val="00B050"/>
              </a:solidFill>
              <a:latin typeface="Impact" panose="020B0806030902050204" pitchFamily="34" charset="0"/>
            </a:rPr>
            <a:t>Vendas</a:t>
          </a:r>
          <a:r>
            <a:rPr lang="pt-BR" sz="1100">
              <a:solidFill>
                <a:srgbClr val="00B050"/>
              </a:solidFill>
            </a:rPr>
            <a:t> </a:t>
          </a:r>
        </a:p>
      </xdr:txBody>
    </xdr:sp>
    <xdr:clientData/>
  </xdr:twoCellAnchor>
  <xdr:twoCellAnchor>
    <xdr:from>
      <xdr:col>3</xdr:col>
      <xdr:colOff>352425</xdr:colOff>
      <xdr:row>15</xdr:row>
      <xdr:rowOff>1</xdr:rowOff>
    </xdr:from>
    <xdr:to>
      <xdr:col>6</xdr:col>
      <xdr:colOff>28425</xdr:colOff>
      <xdr:row>17</xdr:row>
      <xdr:rowOff>180975</xdr:rowOff>
    </xdr:to>
    <xdr:sp macro="" textlink="">
      <xdr:nvSpPr>
        <xdr:cNvPr id="10" name="Retângulo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A94CE8-7B6F-FE01-CDCC-87799D2E6B27}"/>
            </a:ext>
          </a:extLst>
        </xdr:cNvPr>
        <xdr:cNvSpPr/>
      </xdr:nvSpPr>
      <xdr:spPr>
        <a:xfrm>
          <a:off x="2181225" y="2857501"/>
          <a:ext cx="1504800" cy="561974"/>
        </a:xfrm>
        <a:prstGeom prst="rect">
          <a:avLst/>
        </a:prstGeom>
        <a:solidFill>
          <a:sysClr val="window" lastClr="FFFFFF"/>
        </a:solidFill>
        <a:ln>
          <a:solidFill>
            <a:srgbClr val="3F07D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3F07DD"/>
              </a:solidFill>
              <a:latin typeface="Impact" panose="020B0806030902050204" pitchFamily="34" charset="0"/>
            </a:rPr>
            <a:t>Compras</a:t>
          </a:r>
          <a:r>
            <a:rPr lang="pt-BR" sz="1100" baseline="0">
              <a:solidFill>
                <a:srgbClr val="3F07DD"/>
              </a:solidFill>
              <a:latin typeface="Impact" panose="020B0806030902050204" pitchFamily="34" charset="0"/>
            </a:rPr>
            <a:t> Mercadorias</a:t>
          </a:r>
          <a:r>
            <a:rPr lang="pt-BR" sz="1100">
              <a:solidFill>
                <a:srgbClr val="3F07DD"/>
              </a:solidFill>
              <a:latin typeface="Impact" panose="020B0806030902050204" pitchFamily="34" charset="0"/>
            </a:rPr>
            <a:t>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1314450</xdr:colOff>
      <xdr:row>1</xdr:row>
      <xdr:rowOff>28576</xdr:rowOff>
    </xdr:from>
    <xdr:to>
      <xdr:col>5</xdr:col>
      <xdr:colOff>752475</xdr:colOff>
      <xdr:row>1</xdr:row>
      <xdr:rowOff>314326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FFF3FC-D7C3-78DD-A3BC-1447476BE9F5}"/>
            </a:ext>
          </a:extLst>
        </xdr:cNvPr>
        <xdr:cNvSpPr/>
      </xdr:nvSpPr>
      <xdr:spPr>
        <a:xfrm>
          <a:off x="7734300" y="219076"/>
          <a:ext cx="1181100" cy="285750"/>
        </a:xfrm>
        <a:prstGeom prst="rect">
          <a:avLst/>
        </a:prstGeom>
        <a:noFill/>
        <a:ln>
          <a:solidFill>
            <a:schemeClr val="bg1">
              <a:lumMod val="95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  <a:endParaRPr lang="pt-BR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  <xdr:twoCellAnchor>
    <xdr:from>
      <xdr:col>5</xdr:col>
      <xdr:colOff>876300</xdr:colOff>
      <xdr:row>1</xdr:row>
      <xdr:rowOff>28576</xdr:rowOff>
    </xdr:from>
    <xdr:to>
      <xdr:col>6</xdr:col>
      <xdr:colOff>1238250</xdr:colOff>
      <xdr:row>1</xdr:row>
      <xdr:rowOff>314326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2874CC7-210F-4404-8D2F-208D9693DD45}"/>
            </a:ext>
          </a:extLst>
        </xdr:cNvPr>
        <xdr:cNvSpPr/>
      </xdr:nvSpPr>
      <xdr:spPr>
        <a:xfrm>
          <a:off x="9039225" y="219076"/>
          <a:ext cx="1762125" cy="285750"/>
        </a:xfrm>
        <a:prstGeom prst="rect">
          <a:avLst/>
        </a:prstGeom>
        <a:noFill/>
        <a:ln>
          <a:solidFill>
            <a:schemeClr val="bg1">
              <a:lumMod val="95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Compras</a:t>
          </a:r>
          <a:r>
            <a:rPr lang="pt-BR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 Mercadorias</a:t>
          </a:r>
        </a:p>
        <a:p>
          <a:pPr algn="ctr"/>
          <a:endParaRPr lang="pt-BR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  <xdr:twoCellAnchor>
    <xdr:from>
      <xdr:col>7</xdr:col>
      <xdr:colOff>0</xdr:colOff>
      <xdr:row>1</xdr:row>
      <xdr:rowOff>28576</xdr:rowOff>
    </xdr:from>
    <xdr:to>
      <xdr:col>8</xdr:col>
      <xdr:colOff>571500</xdr:colOff>
      <xdr:row>1</xdr:row>
      <xdr:rowOff>314326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60452AA-241A-4298-908A-70D3DC1551C9}"/>
            </a:ext>
          </a:extLst>
        </xdr:cNvPr>
        <xdr:cNvSpPr/>
      </xdr:nvSpPr>
      <xdr:spPr>
        <a:xfrm>
          <a:off x="10887075" y="219076"/>
          <a:ext cx="1181100" cy="285750"/>
        </a:xfrm>
        <a:prstGeom prst="rect">
          <a:avLst/>
        </a:prstGeom>
        <a:noFill/>
        <a:ln>
          <a:solidFill>
            <a:schemeClr val="bg1">
              <a:lumMod val="95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Resultados</a:t>
          </a:r>
        </a:p>
        <a:p>
          <a:pPr algn="ctr"/>
          <a:endParaRPr lang="pt-BR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1</xdr:row>
      <xdr:rowOff>19050</xdr:rowOff>
    </xdr:from>
    <xdr:to>
      <xdr:col>7</xdr:col>
      <xdr:colOff>342900</xdr:colOff>
      <xdr:row>1</xdr:row>
      <xdr:rowOff>304800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D602FE-8D62-4DA7-AF3F-CCB862BD6DA6}"/>
            </a:ext>
          </a:extLst>
        </xdr:cNvPr>
        <xdr:cNvSpPr/>
      </xdr:nvSpPr>
      <xdr:spPr>
        <a:xfrm>
          <a:off x="7705725" y="209550"/>
          <a:ext cx="1181100" cy="285750"/>
        </a:xfrm>
        <a:prstGeom prst="rect">
          <a:avLst/>
        </a:prstGeom>
        <a:noFill/>
        <a:ln>
          <a:solidFill>
            <a:schemeClr val="bg1">
              <a:lumMod val="95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  <a:endParaRPr lang="pt-BR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  <xdr:twoCellAnchor>
    <xdr:from>
      <xdr:col>8</xdr:col>
      <xdr:colOff>552450</xdr:colOff>
      <xdr:row>1</xdr:row>
      <xdr:rowOff>19050</xdr:rowOff>
    </xdr:from>
    <xdr:to>
      <xdr:col>10</xdr:col>
      <xdr:colOff>381000</xdr:colOff>
      <xdr:row>1</xdr:row>
      <xdr:rowOff>304800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6D3B09-9308-4754-9EC2-A9BCA594703F}"/>
            </a:ext>
          </a:extLst>
        </xdr:cNvPr>
        <xdr:cNvSpPr/>
      </xdr:nvSpPr>
      <xdr:spPr>
        <a:xfrm>
          <a:off x="10267950" y="209550"/>
          <a:ext cx="1762125" cy="285750"/>
        </a:xfrm>
        <a:prstGeom prst="rect">
          <a:avLst/>
        </a:prstGeom>
        <a:noFill/>
        <a:ln>
          <a:solidFill>
            <a:schemeClr val="bg1">
              <a:lumMod val="95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Controle de Estoque</a:t>
          </a:r>
        </a:p>
        <a:p>
          <a:pPr algn="ctr"/>
          <a:endParaRPr lang="pt-BR" sz="1100" b="0" i="0" u="none" strike="noStrike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pt-BR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  <xdr:twoCellAnchor>
    <xdr:from>
      <xdr:col>7</xdr:col>
      <xdr:colOff>447675</xdr:colOff>
      <xdr:row>1</xdr:row>
      <xdr:rowOff>19050</xdr:rowOff>
    </xdr:from>
    <xdr:to>
      <xdr:col>8</xdr:col>
      <xdr:colOff>457200</xdr:colOff>
      <xdr:row>1</xdr:row>
      <xdr:rowOff>304800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332269-37DC-488F-A9EA-54A326AB5C90}"/>
            </a:ext>
          </a:extLst>
        </xdr:cNvPr>
        <xdr:cNvSpPr/>
      </xdr:nvSpPr>
      <xdr:spPr>
        <a:xfrm>
          <a:off x="8991600" y="209550"/>
          <a:ext cx="1181100" cy="285750"/>
        </a:xfrm>
        <a:prstGeom prst="rect">
          <a:avLst/>
        </a:prstGeom>
        <a:noFill/>
        <a:ln>
          <a:solidFill>
            <a:schemeClr val="bg1">
              <a:lumMod val="95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Despesas</a:t>
          </a:r>
        </a:p>
        <a:p>
          <a:pPr algn="ctr"/>
          <a:endParaRPr lang="pt-BR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pt-BR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  <xdr:twoCellAnchor>
    <xdr:from>
      <xdr:col>1</xdr:col>
      <xdr:colOff>0</xdr:colOff>
      <xdr:row>2</xdr:row>
      <xdr:rowOff>114300</xdr:rowOff>
    </xdr:from>
    <xdr:to>
      <xdr:col>2</xdr:col>
      <xdr:colOff>0</xdr:colOff>
      <xdr:row>2</xdr:row>
      <xdr:rowOff>366300</xdr:rowOff>
    </xdr:to>
    <xdr:sp macro="[0]!Inserir_compra" textlink="">
      <xdr:nvSpPr>
        <xdr:cNvPr id="8" name="Retângulo 7">
          <a:extLst>
            <a:ext uri="{FF2B5EF4-FFF2-40B4-BE49-F238E27FC236}">
              <a16:creationId xmlns:a16="http://schemas.microsoft.com/office/drawing/2014/main" id="{CE86F4B8-EC18-469D-92EB-9DAFA209FA68}"/>
            </a:ext>
          </a:extLst>
        </xdr:cNvPr>
        <xdr:cNvSpPr/>
      </xdr:nvSpPr>
      <xdr:spPr>
        <a:xfrm>
          <a:off x="609600" y="657225"/>
          <a:ext cx="1181100" cy="252000"/>
        </a:xfrm>
        <a:prstGeom prst="rect">
          <a:avLst/>
        </a:prstGeom>
        <a:noFill/>
        <a:ln>
          <a:solidFill>
            <a:srgbClr val="0070C0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>
              <a:solidFill>
                <a:srgbClr val="0070C0"/>
              </a:solidFill>
            </a:rPr>
            <a:t>Inserir</a:t>
          </a:r>
          <a:r>
            <a:rPr lang="pt-BR" baseline="0">
              <a:solidFill>
                <a:srgbClr val="0070C0"/>
              </a:solidFill>
            </a:rPr>
            <a:t> Compra</a:t>
          </a: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  <xdr:twoCellAnchor>
    <xdr:from>
      <xdr:col>2</xdr:col>
      <xdr:colOff>133350</xdr:colOff>
      <xdr:row>2</xdr:row>
      <xdr:rowOff>114300</xdr:rowOff>
    </xdr:from>
    <xdr:to>
      <xdr:col>2</xdr:col>
      <xdr:colOff>1314450</xdr:colOff>
      <xdr:row>2</xdr:row>
      <xdr:rowOff>366300</xdr:rowOff>
    </xdr:to>
    <xdr:sp macro="[0]!Deletar_Linha" textlink="">
      <xdr:nvSpPr>
        <xdr:cNvPr id="11" name="Retângulo 10">
          <a:extLst>
            <a:ext uri="{FF2B5EF4-FFF2-40B4-BE49-F238E27FC236}">
              <a16:creationId xmlns:a16="http://schemas.microsoft.com/office/drawing/2014/main" id="{C6BB5D0C-7704-454E-B146-28A68D207457}"/>
            </a:ext>
          </a:extLst>
        </xdr:cNvPr>
        <xdr:cNvSpPr/>
      </xdr:nvSpPr>
      <xdr:spPr>
        <a:xfrm>
          <a:off x="1924050" y="657225"/>
          <a:ext cx="1181100" cy="252000"/>
        </a:xfrm>
        <a:prstGeom prst="rect">
          <a:avLst/>
        </a:prstGeom>
        <a:noFill/>
        <a:ln>
          <a:solidFill>
            <a:srgbClr val="0070C0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>
              <a:solidFill>
                <a:srgbClr val="0070C0"/>
              </a:solidFill>
            </a:rPr>
            <a:t>Deletar</a:t>
          </a: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381000</xdr:colOff>
      <xdr:row>1</xdr:row>
      <xdr:rowOff>22412</xdr:rowOff>
    </xdr:from>
    <xdr:to>
      <xdr:col>5</xdr:col>
      <xdr:colOff>127747</xdr:colOff>
      <xdr:row>1</xdr:row>
      <xdr:rowOff>308162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1D23C55-A5E0-45D3-9EB7-793F0E75FB90}"/>
            </a:ext>
          </a:extLst>
        </xdr:cNvPr>
        <xdr:cNvSpPr/>
      </xdr:nvSpPr>
      <xdr:spPr>
        <a:xfrm>
          <a:off x="11822206" y="212912"/>
          <a:ext cx="1181100" cy="285750"/>
        </a:xfrm>
        <a:prstGeom prst="rect">
          <a:avLst/>
        </a:prstGeom>
        <a:noFill/>
        <a:ln>
          <a:solidFill>
            <a:schemeClr val="bg1">
              <a:lumMod val="95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  <a:endParaRPr lang="pt-BR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  <xdr:twoCellAnchor>
    <xdr:from>
      <xdr:col>5</xdr:col>
      <xdr:colOff>250452</xdr:colOff>
      <xdr:row>1</xdr:row>
      <xdr:rowOff>22410</xdr:rowOff>
    </xdr:from>
    <xdr:to>
      <xdr:col>7</xdr:col>
      <xdr:colOff>221317</xdr:colOff>
      <xdr:row>1</xdr:row>
      <xdr:rowOff>308160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29347D7-5390-4E4E-9540-7DF7E3DE6D47}"/>
            </a:ext>
          </a:extLst>
        </xdr:cNvPr>
        <xdr:cNvSpPr/>
      </xdr:nvSpPr>
      <xdr:spPr>
        <a:xfrm>
          <a:off x="13126011" y="212910"/>
          <a:ext cx="1181100" cy="285750"/>
        </a:xfrm>
        <a:prstGeom prst="rect">
          <a:avLst/>
        </a:prstGeom>
        <a:noFill/>
        <a:ln>
          <a:solidFill>
            <a:schemeClr val="bg1">
              <a:lumMod val="95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Resultados</a:t>
          </a:r>
        </a:p>
        <a:p>
          <a:pPr algn="ctr"/>
          <a:endParaRPr lang="pt-BR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1</xdr:row>
      <xdr:rowOff>38100</xdr:rowOff>
    </xdr:from>
    <xdr:to>
      <xdr:col>6</xdr:col>
      <xdr:colOff>1200150</xdr:colOff>
      <xdr:row>1</xdr:row>
      <xdr:rowOff>304800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BBDF4CF-B266-4FB9-9E43-10B94CFFEFEB}"/>
            </a:ext>
          </a:extLst>
        </xdr:cNvPr>
        <xdr:cNvSpPr/>
      </xdr:nvSpPr>
      <xdr:spPr>
        <a:xfrm>
          <a:off x="8210550" y="228600"/>
          <a:ext cx="1181100" cy="266700"/>
        </a:xfrm>
        <a:prstGeom prst="rect">
          <a:avLst/>
        </a:prstGeom>
        <a:noFill/>
        <a:ln>
          <a:solidFill>
            <a:schemeClr val="bg1">
              <a:lumMod val="95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  <a:endParaRPr lang="pt-BR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  <xdr:twoCellAnchor>
    <xdr:from>
      <xdr:col>7</xdr:col>
      <xdr:colOff>38100</xdr:colOff>
      <xdr:row>1</xdr:row>
      <xdr:rowOff>28575</xdr:rowOff>
    </xdr:from>
    <xdr:to>
      <xdr:col>9</xdr:col>
      <xdr:colOff>247650</xdr:colOff>
      <xdr:row>1</xdr:row>
      <xdr:rowOff>314325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337FFB1-EE01-4155-95CF-2F9E6727D306}"/>
            </a:ext>
          </a:extLst>
        </xdr:cNvPr>
        <xdr:cNvSpPr/>
      </xdr:nvSpPr>
      <xdr:spPr>
        <a:xfrm>
          <a:off x="9477375" y="219075"/>
          <a:ext cx="1762125" cy="285750"/>
        </a:xfrm>
        <a:prstGeom prst="rect">
          <a:avLst/>
        </a:prstGeom>
        <a:noFill/>
        <a:ln>
          <a:solidFill>
            <a:schemeClr val="bg1">
              <a:lumMod val="95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Compras</a:t>
          </a:r>
          <a:r>
            <a:rPr lang="pt-BR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 Mercadorias</a:t>
          </a:r>
        </a:p>
        <a:p>
          <a:pPr algn="ctr"/>
          <a:endParaRPr lang="pt-BR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  <xdr:twoCellAnchor>
    <xdr:from>
      <xdr:col>9</xdr:col>
      <xdr:colOff>323850</xdr:colOff>
      <xdr:row>1</xdr:row>
      <xdr:rowOff>28575</xdr:rowOff>
    </xdr:from>
    <xdr:to>
      <xdr:col>11</xdr:col>
      <xdr:colOff>285750</xdr:colOff>
      <xdr:row>1</xdr:row>
      <xdr:rowOff>314325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E5F97E2-638A-41D5-92F7-9763B50C4ECC}"/>
            </a:ext>
          </a:extLst>
        </xdr:cNvPr>
        <xdr:cNvSpPr/>
      </xdr:nvSpPr>
      <xdr:spPr>
        <a:xfrm>
          <a:off x="11315700" y="219075"/>
          <a:ext cx="1181100" cy="285750"/>
        </a:xfrm>
        <a:prstGeom prst="rect">
          <a:avLst/>
        </a:prstGeom>
        <a:noFill/>
        <a:ln>
          <a:solidFill>
            <a:schemeClr val="bg1">
              <a:lumMod val="95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Vendas</a:t>
          </a:r>
        </a:p>
        <a:p>
          <a:pPr algn="ctr"/>
          <a:endParaRPr lang="pt-BR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147637</xdr:rowOff>
    </xdr:from>
    <xdr:to>
      <xdr:col>10</xdr:col>
      <xdr:colOff>1493837</xdr:colOff>
      <xdr:row>19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751EDC0-1B93-9734-B791-38D4BAEDE1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268942</xdr:colOff>
      <xdr:row>24</xdr:row>
      <xdr:rowOff>154303</xdr:rowOff>
    </xdr:from>
    <xdr:to>
      <xdr:col>10</xdr:col>
      <xdr:colOff>1445559</xdr:colOff>
      <xdr:row>35</xdr:row>
      <xdr:rowOff>14567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E3EDAFA-F071-9B48-B8BB-7884DD875E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425824</xdr:colOff>
      <xdr:row>39</xdr:row>
      <xdr:rowOff>1119</xdr:rowOff>
    </xdr:from>
    <xdr:to>
      <xdr:col>10</xdr:col>
      <xdr:colOff>1490382</xdr:colOff>
      <xdr:row>51</xdr:row>
      <xdr:rowOff>66113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435FA60-68E4-6EA6-A1F0-26BBC49241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1591236</xdr:colOff>
      <xdr:row>1</xdr:row>
      <xdr:rowOff>22412</xdr:rowOff>
    </xdr:from>
    <xdr:to>
      <xdr:col>9</xdr:col>
      <xdr:colOff>1125071</xdr:colOff>
      <xdr:row>1</xdr:row>
      <xdr:rowOff>308162</xdr:rowOff>
    </xdr:to>
    <xdr:sp macro="" textlink="">
      <xdr:nvSpPr>
        <xdr:cNvPr id="8" name="Retângul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3996C91-C8BD-4F22-BC32-182D871A9DE7}"/>
            </a:ext>
          </a:extLst>
        </xdr:cNvPr>
        <xdr:cNvSpPr/>
      </xdr:nvSpPr>
      <xdr:spPr>
        <a:xfrm>
          <a:off x="10029265" y="212912"/>
          <a:ext cx="1181100" cy="285750"/>
        </a:xfrm>
        <a:prstGeom prst="rect">
          <a:avLst/>
        </a:prstGeom>
        <a:noFill/>
        <a:ln>
          <a:solidFill>
            <a:schemeClr val="bg1">
              <a:lumMod val="95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Menu</a:t>
          </a:r>
          <a:endParaRPr lang="pt-BR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  <xdr:twoCellAnchor>
    <xdr:from>
      <xdr:col>9</xdr:col>
      <xdr:colOff>1248896</xdr:colOff>
      <xdr:row>1</xdr:row>
      <xdr:rowOff>22412</xdr:rowOff>
    </xdr:from>
    <xdr:to>
      <xdr:col>10</xdr:col>
      <xdr:colOff>1363756</xdr:colOff>
      <xdr:row>1</xdr:row>
      <xdr:rowOff>308162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9B52346-EEC1-4AAE-88A8-2F874FE49770}"/>
            </a:ext>
          </a:extLst>
        </xdr:cNvPr>
        <xdr:cNvSpPr/>
      </xdr:nvSpPr>
      <xdr:spPr>
        <a:xfrm>
          <a:off x="11334190" y="212912"/>
          <a:ext cx="1762125" cy="285750"/>
        </a:xfrm>
        <a:prstGeom prst="rect">
          <a:avLst/>
        </a:prstGeom>
        <a:noFill/>
        <a:ln>
          <a:solidFill>
            <a:schemeClr val="bg1">
              <a:lumMod val="95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Ir para a semana</a:t>
          </a:r>
        </a:p>
        <a:p>
          <a:pPr algn="ctr"/>
          <a:endParaRPr lang="pt-BR" sz="1100" b="0" i="0" u="none" strike="noStrike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pt-BR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  <xdr:twoCellAnchor>
    <xdr:from>
      <xdr:col>10</xdr:col>
      <xdr:colOff>1449481</xdr:colOff>
      <xdr:row>1</xdr:row>
      <xdr:rowOff>22412</xdr:rowOff>
    </xdr:from>
    <xdr:to>
      <xdr:col>12</xdr:col>
      <xdr:colOff>378199</xdr:colOff>
      <xdr:row>1</xdr:row>
      <xdr:rowOff>308162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8544D87-9ED8-490A-9958-240B48F8B5FE}"/>
            </a:ext>
          </a:extLst>
        </xdr:cNvPr>
        <xdr:cNvSpPr/>
      </xdr:nvSpPr>
      <xdr:spPr>
        <a:xfrm>
          <a:off x="13182040" y="212912"/>
          <a:ext cx="1181100" cy="285750"/>
        </a:xfrm>
        <a:prstGeom prst="rect">
          <a:avLst/>
        </a:prstGeom>
        <a:noFill/>
        <a:ln>
          <a:solidFill>
            <a:schemeClr val="bg1">
              <a:lumMod val="95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Resultados</a:t>
          </a:r>
        </a:p>
        <a:p>
          <a:pPr algn="ctr"/>
          <a:endParaRPr lang="pt-BR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  <xdr:twoCellAnchor>
    <xdr:from>
      <xdr:col>4</xdr:col>
      <xdr:colOff>291354</xdr:colOff>
      <xdr:row>54</xdr:row>
      <xdr:rowOff>55962</xdr:rowOff>
    </xdr:from>
    <xdr:to>
      <xdr:col>5</xdr:col>
      <xdr:colOff>466501</xdr:colOff>
      <xdr:row>55</xdr:row>
      <xdr:rowOff>52962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B4CAD9F-45D9-BA4D-33DB-28D1CEFD11FA}"/>
            </a:ext>
          </a:extLst>
        </xdr:cNvPr>
        <xdr:cNvSpPr/>
      </xdr:nvSpPr>
      <xdr:spPr>
        <a:xfrm>
          <a:off x="4291854" y="11889374"/>
          <a:ext cx="1800000" cy="3780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2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3</xdr:col>
      <xdr:colOff>582706</xdr:colOff>
      <xdr:row>54</xdr:row>
      <xdr:rowOff>55962</xdr:rowOff>
    </xdr:from>
    <xdr:to>
      <xdr:col>4</xdr:col>
      <xdr:colOff>197559</xdr:colOff>
      <xdr:row>55</xdr:row>
      <xdr:rowOff>52962</xdr:rowOff>
    </xdr:to>
    <xdr:sp macro="" textlink="">
      <xdr:nvSpPr>
        <xdr:cNvPr id="12" name="Retângulo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BF564F5-6808-41EB-BA81-A37A571032EC}"/>
            </a:ext>
          </a:extLst>
        </xdr:cNvPr>
        <xdr:cNvSpPr/>
      </xdr:nvSpPr>
      <xdr:spPr>
        <a:xfrm>
          <a:off x="2398059" y="11889374"/>
          <a:ext cx="1800000" cy="3780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1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6</xdr:col>
      <xdr:colOff>85165</xdr:colOff>
      <xdr:row>54</xdr:row>
      <xdr:rowOff>55962</xdr:rowOff>
    </xdr:from>
    <xdr:to>
      <xdr:col>7</xdr:col>
      <xdr:colOff>473224</xdr:colOff>
      <xdr:row>55</xdr:row>
      <xdr:rowOff>52962</xdr:rowOff>
    </xdr:to>
    <xdr:sp macro="" textlink="">
      <xdr:nvSpPr>
        <xdr:cNvPr id="13" name="Retângulo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0CC7077-E015-4996-B136-5AE1BFFA8F3D}"/>
            </a:ext>
          </a:extLst>
        </xdr:cNvPr>
        <xdr:cNvSpPr/>
      </xdr:nvSpPr>
      <xdr:spPr>
        <a:xfrm>
          <a:off x="6181165" y="11889374"/>
          <a:ext cx="1800000" cy="3780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3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7</xdr:col>
      <xdr:colOff>551329</xdr:colOff>
      <xdr:row>54</xdr:row>
      <xdr:rowOff>55962</xdr:rowOff>
    </xdr:from>
    <xdr:to>
      <xdr:col>8</xdr:col>
      <xdr:colOff>726476</xdr:colOff>
      <xdr:row>55</xdr:row>
      <xdr:rowOff>52962</xdr:rowOff>
    </xdr:to>
    <xdr:sp macro="" textlink="">
      <xdr:nvSpPr>
        <xdr:cNvPr id="14" name="Retângul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DF37B60-C381-4D41-BC35-51D2EDA43AF7}"/>
            </a:ext>
          </a:extLst>
        </xdr:cNvPr>
        <xdr:cNvSpPr/>
      </xdr:nvSpPr>
      <xdr:spPr>
        <a:xfrm>
          <a:off x="8059270" y="11889374"/>
          <a:ext cx="1800000" cy="3780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4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8</xdr:col>
      <xdr:colOff>804582</xdr:colOff>
      <xdr:row>54</xdr:row>
      <xdr:rowOff>55962</xdr:rowOff>
    </xdr:from>
    <xdr:to>
      <xdr:col>9</xdr:col>
      <xdr:colOff>957317</xdr:colOff>
      <xdr:row>55</xdr:row>
      <xdr:rowOff>52962</xdr:rowOff>
    </xdr:to>
    <xdr:sp macro="" textlink="">
      <xdr:nvSpPr>
        <xdr:cNvPr id="15" name="Retângulo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59B4CCC-41B5-43FA-AF9E-9B273B7F94B5}"/>
            </a:ext>
          </a:extLst>
        </xdr:cNvPr>
        <xdr:cNvSpPr/>
      </xdr:nvSpPr>
      <xdr:spPr>
        <a:xfrm>
          <a:off x="9937376" y="11889374"/>
          <a:ext cx="1800000" cy="3780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5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1919968</xdr:colOff>
      <xdr:row>1</xdr:row>
      <xdr:rowOff>19050</xdr:rowOff>
    </xdr:from>
    <xdr:to>
      <xdr:col>7</xdr:col>
      <xdr:colOff>57150</xdr:colOff>
      <xdr:row>1</xdr:row>
      <xdr:rowOff>285750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3C6F23-52C3-41FB-9479-3E0AB6926A83}"/>
            </a:ext>
          </a:extLst>
        </xdr:cNvPr>
        <xdr:cNvSpPr/>
      </xdr:nvSpPr>
      <xdr:spPr>
        <a:xfrm>
          <a:off x="9006568" y="209550"/>
          <a:ext cx="1718582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7</xdr:col>
      <xdr:colOff>142875</xdr:colOff>
      <xdr:row>1</xdr:row>
      <xdr:rowOff>9525</xdr:rowOff>
    </xdr:from>
    <xdr:to>
      <xdr:col>9</xdr:col>
      <xdr:colOff>366033</xdr:colOff>
      <xdr:row>1</xdr:row>
      <xdr:rowOff>276225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D93D189-20D7-41AE-BCA0-9748EE8C85DD}"/>
            </a:ext>
          </a:extLst>
        </xdr:cNvPr>
        <xdr:cNvSpPr/>
      </xdr:nvSpPr>
      <xdr:spPr>
        <a:xfrm>
          <a:off x="10810875" y="200025"/>
          <a:ext cx="1442358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4</xdr:col>
      <xdr:colOff>666750</xdr:colOff>
      <xdr:row>1</xdr:row>
      <xdr:rowOff>28575</xdr:rowOff>
    </xdr:from>
    <xdr:to>
      <xdr:col>4</xdr:col>
      <xdr:colOff>1847850</xdr:colOff>
      <xdr:row>1</xdr:row>
      <xdr:rowOff>295275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85AC433-5F8B-405C-843B-23CB683228E1}"/>
            </a:ext>
          </a:extLst>
        </xdr:cNvPr>
        <xdr:cNvSpPr/>
      </xdr:nvSpPr>
      <xdr:spPr>
        <a:xfrm>
          <a:off x="7753350" y="219075"/>
          <a:ext cx="1181100" cy="266700"/>
        </a:xfrm>
        <a:prstGeom prst="rect">
          <a:avLst/>
        </a:prstGeom>
        <a:noFill/>
        <a:ln>
          <a:solidFill>
            <a:schemeClr val="bg1">
              <a:lumMod val="95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Despesas</a:t>
          </a:r>
        </a:p>
        <a:p>
          <a:pPr algn="ctr"/>
          <a:endParaRPr lang="pt-BR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pt-BR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400050</xdr:colOff>
      <xdr:row>2</xdr:row>
      <xdr:rowOff>75375</xdr:rowOff>
    </xdr:from>
    <xdr:to>
      <xdr:col>4</xdr:col>
      <xdr:colOff>533400</xdr:colOff>
      <xdr:row>2</xdr:row>
      <xdr:rowOff>327375</xdr:rowOff>
    </xdr:to>
    <xdr:sp macro="[0]!Deletar_Linha" textlink="">
      <xdr:nvSpPr>
        <xdr:cNvPr id="2" name="Retângulo 1">
          <a:extLst>
            <a:ext uri="{FF2B5EF4-FFF2-40B4-BE49-F238E27FC236}">
              <a16:creationId xmlns:a16="http://schemas.microsoft.com/office/drawing/2014/main" id="{1D0E7588-FBBD-4260-B966-5DCBDEE9C323}"/>
            </a:ext>
          </a:extLst>
        </xdr:cNvPr>
        <xdr:cNvSpPr/>
      </xdr:nvSpPr>
      <xdr:spPr>
        <a:xfrm>
          <a:off x="3476625" y="618300"/>
          <a:ext cx="1181100" cy="252000"/>
        </a:xfrm>
        <a:prstGeom prst="rect">
          <a:avLst/>
        </a:prstGeom>
        <a:noFill/>
        <a:ln>
          <a:solidFill>
            <a:schemeClr val="accent6">
              <a:lumMod val="50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>
              <a:solidFill>
                <a:schemeClr val="accent6">
                  <a:lumMod val="75000"/>
                </a:schemeClr>
              </a:solidFill>
            </a:rPr>
            <a:t>Deletar</a:t>
          </a: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  <xdr:twoCellAnchor>
    <xdr:from>
      <xdr:col>1</xdr:col>
      <xdr:colOff>95250</xdr:colOff>
      <xdr:row>2</xdr:row>
      <xdr:rowOff>75375</xdr:rowOff>
    </xdr:from>
    <xdr:to>
      <xdr:col>1</xdr:col>
      <xdr:colOff>1276350</xdr:colOff>
      <xdr:row>2</xdr:row>
      <xdr:rowOff>327375</xdr:rowOff>
    </xdr:to>
    <xdr:sp macro="[0]!Nova_Venda" textlink="">
      <xdr:nvSpPr>
        <xdr:cNvPr id="4" name="Retângulo 3">
          <a:extLst>
            <a:ext uri="{FF2B5EF4-FFF2-40B4-BE49-F238E27FC236}">
              <a16:creationId xmlns:a16="http://schemas.microsoft.com/office/drawing/2014/main" id="{6C67E925-EC9D-4773-896A-486529ED630A}"/>
            </a:ext>
          </a:extLst>
        </xdr:cNvPr>
        <xdr:cNvSpPr/>
      </xdr:nvSpPr>
      <xdr:spPr>
        <a:xfrm>
          <a:off x="876300" y="618300"/>
          <a:ext cx="1181100" cy="252000"/>
        </a:xfrm>
        <a:prstGeom prst="rect">
          <a:avLst/>
        </a:prstGeom>
        <a:noFill/>
        <a:ln>
          <a:solidFill>
            <a:schemeClr val="accent6">
              <a:lumMod val="50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accent6">
                  <a:lumMod val="75000"/>
                </a:schemeClr>
              </a:solidFill>
            </a:rPr>
            <a:t>Nova</a:t>
          </a:r>
          <a:r>
            <a:rPr lang="pt-BR" sz="1100" baseline="0">
              <a:solidFill>
                <a:schemeClr val="accent6">
                  <a:lumMod val="75000"/>
                </a:schemeClr>
              </a:solidFill>
            </a:rPr>
            <a:t> Venda</a:t>
          </a:r>
          <a:endParaRPr lang="pt-BR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1390650</xdr:colOff>
      <xdr:row>2</xdr:row>
      <xdr:rowOff>75375</xdr:rowOff>
    </xdr:from>
    <xdr:to>
      <xdr:col>3</xdr:col>
      <xdr:colOff>276225</xdr:colOff>
      <xdr:row>2</xdr:row>
      <xdr:rowOff>327375</xdr:rowOff>
    </xdr:to>
    <xdr:sp macro="[0]!Inserir_Produto" textlink="">
      <xdr:nvSpPr>
        <xdr:cNvPr id="5" name="Retângulo 4">
          <a:extLst>
            <a:ext uri="{FF2B5EF4-FFF2-40B4-BE49-F238E27FC236}">
              <a16:creationId xmlns:a16="http://schemas.microsoft.com/office/drawing/2014/main" id="{B3496AD2-7F0A-41DB-83F6-6F9141829576}"/>
            </a:ext>
          </a:extLst>
        </xdr:cNvPr>
        <xdr:cNvSpPr/>
      </xdr:nvSpPr>
      <xdr:spPr>
        <a:xfrm>
          <a:off x="2171700" y="618300"/>
          <a:ext cx="1181100" cy="252000"/>
        </a:xfrm>
        <a:prstGeom prst="rect">
          <a:avLst/>
        </a:prstGeom>
        <a:noFill/>
        <a:ln>
          <a:solidFill>
            <a:schemeClr val="accent6">
              <a:lumMod val="50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accent6">
                  <a:lumMod val="75000"/>
                </a:schemeClr>
              </a:solidFill>
            </a:rPr>
            <a:t>Inserir</a:t>
          </a:r>
          <a:r>
            <a:rPr lang="pt-BR" sz="1100" baseline="0">
              <a:solidFill>
                <a:schemeClr val="accent6">
                  <a:lumMod val="75000"/>
                </a:schemeClr>
              </a:solidFill>
            </a:rPr>
            <a:t> Produto</a:t>
          </a:r>
        </a:p>
        <a:p>
          <a:pPr algn="ctr"/>
          <a:endParaRPr lang="pt-BR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10</xdr:col>
      <xdr:colOff>91168</xdr:colOff>
      <xdr:row>1</xdr:row>
      <xdr:rowOff>47625</xdr:rowOff>
    </xdr:from>
    <xdr:to>
      <xdr:col>11</xdr:col>
      <xdr:colOff>539593</xdr:colOff>
      <xdr:row>1</xdr:row>
      <xdr:rowOff>314325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36667A-68D9-4436-878F-8EE70C7D7EA9}"/>
            </a:ext>
          </a:extLst>
        </xdr:cNvPr>
        <xdr:cNvSpPr/>
      </xdr:nvSpPr>
      <xdr:spPr>
        <a:xfrm>
          <a:off x="9092293" y="238125"/>
          <a:ext cx="16200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12</xdr:col>
      <xdr:colOff>76200</xdr:colOff>
      <xdr:row>1</xdr:row>
      <xdr:rowOff>47625</xdr:rowOff>
    </xdr:from>
    <xdr:to>
      <xdr:col>13</xdr:col>
      <xdr:colOff>448425</xdr:colOff>
      <xdr:row>1</xdr:row>
      <xdr:rowOff>314325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DA863D8-5A5C-4F5F-9673-7698AB86F871}"/>
            </a:ext>
          </a:extLst>
        </xdr:cNvPr>
        <xdr:cNvSpPr/>
      </xdr:nvSpPr>
      <xdr:spPr>
        <a:xfrm>
          <a:off x="10953750" y="238125"/>
          <a:ext cx="16200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</xdr:row>
      <xdr:rowOff>3000</xdr:rowOff>
    </xdr:from>
    <xdr:to>
      <xdr:col>12</xdr:col>
      <xdr:colOff>95250</xdr:colOff>
      <xdr:row>4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A26572-7AA4-4E55-966C-CB81A2E082D0}"/>
            </a:ext>
          </a:extLst>
        </xdr:cNvPr>
        <xdr:cNvSpPr/>
      </xdr:nvSpPr>
      <xdr:spPr>
        <a:xfrm>
          <a:off x="10353675" y="384000"/>
          <a:ext cx="1314450" cy="3780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1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688165</xdr:colOff>
      <xdr:row>2</xdr:row>
      <xdr:rowOff>56325</xdr:rowOff>
    </xdr:from>
    <xdr:to>
      <xdr:col>2</xdr:col>
      <xdr:colOff>368136</xdr:colOff>
      <xdr:row>2</xdr:row>
      <xdr:rowOff>308325</xdr:rowOff>
    </xdr:to>
    <xdr:sp macro="[0]!Nova_Venda" textlink="">
      <xdr:nvSpPr>
        <xdr:cNvPr id="2" name="Retângulo 1">
          <a:extLst>
            <a:ext uri="{FF2B5EF4-FFF2-40B4-BE49-F238E27FC236}">
              <a16:creationId xmlns:a16="http://schemas.microsoft.com/office/drawing/2014/main" id="{2458B5D8-0BAF-4C1C-AF7A-C778586B8601}"/>
            </a:ext>
          </a:extLst>
        </xdr:cNvPr>
        <xdr:cNvSpPr/>
      </xdr:nvSpPr>
      <xdr:spPr>
        <a:xfrm>
          <a:off x="1472577" y="594207"/>
          <a:ext cx="1260000" cy="252000"/>
        </a:xfrm>
        <a:prstGeom prst="rect">
          <a:avLst/>
        </a:prstGeom>
        <a:noFill/>
        <a:ln>
          <a:solidFill>
            <a:schemeClr val="accent6">
              <a:lumMod val="50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accent6">
                  <a:lumMod val="75000"/>
                </a:schemeClr>
              </a:solidFill>
            </a:rPr>
            <a:t>Nova</a:t>
          </a:r>
          <a:r>
            <a:rPr lang="pt-BR" sz="1100" baseline="0">
              <a:solidFill>
                <a:schemeClr val="accent6">
                  <a:lumMod val="75000"/>
                </a:schemeClr>
              </a:solidFill>
            </a:rPr>
            <a:t> Venda</a:t>
          </a:r>
          <a:endParaRPr lang="pt-BR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475814</xdr:colOff>
      <xdr:row>2</xdr:row>
      <xdr:rowOff>61795</xdr:rowOff>
    </xdr:from>
    <xdr:to>
      <xdr:col>4</xdr:col>
      <xdr:colOff>43726</xdr:colOff>
      <xdr:row>2</xdr:row>
      <xdr:rowOff>313795</xdr:rowOff>
    </xdr:to>
    <xdr:sp macro="[0]!Inserir_Produto" textlink="">
      <xdr:nvSpPr>
        <xdr:cNvPr id="3" name="Retângulo 2">
          <a:extLst>
            <a:ext uri="{FF2B5EF4-FFF2-40B4-BE49-F238E27FC236}">
              <a16:creationId xmlns:a16="http://schemas.microsoft.com/office/drawing/2014/main" id="{EF245070-86C3-479C-B3F3-357E5B448A14}"/>
            </a:ext>
          </a:extLst>
        </xdr:cNvPr>
        <xdr:cNvSpPr/>
      </xdr:nvSpPr>
      <xdr:spPr>
        <a:xfrm>
          <a:off x="2840255" y="599677"/>
          <a:ext cx="1260000" cy="252000"/>
        </a:xfrm>
        <a:prstGeom prst="rect">
          <a:avLst/>
        </a:prstGeom>
        <a:noFill/>
        <a:ln>
          <a:solidFill>
            <a:schemeClr val="accent6">
              <a:lumMod val="50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accent6">
                  <a:lumMod val="75000"/>
                </a:schemeClr>
              </a:solidFill>
            </a:rPr>
            <a:t>Inserir</a:t>
          </a:r>
          <a:r>
            <a:rPr lang="pt-BR" sz="1100" baseline="0">
              <a:solidFill>
                <a:schemeClr val="accent6">
                  <a:lumMod val="75000"/>
                </a:schemeClr>
              </a:solidFill>
            </a:rPr>
            <a:t> Produto</a:t>
          </a:r>
        </a:p>
        <a:p>
          <a:pPr algn="ctr"/>
          <a:endParaRPr lang="pt-BR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4</xdr:col>
      <xdr:colOff>121147</xdr:colOff>
      <xdr:row>2</xdr:row>
      <xdr:rowOff>56325</xdr:rowOff>
    </xdr:from>
    <xdr:to>
      <xdr:col>5</xdr:col>
      <xdr:colOff>720000</xdr:colOff>
      <xdr:row>2</xdr:row>
      <xdr:rowOff>308325</xdr:rowOff>
    </xdr:to>
    <xdr:sp macro="[0]!Deletar_Linha" textlink="">
      <xdr:nvSpPr>
        <xdr:cNvPr id="4" name="Retângulo 3">
          <a:extLst>
            <a:ext uri="{FF2B5EF4-FFF2-40B4-BE49-F238E27FC236}">
              <a16:creationId xmlns:a16="http://schemas.microsoft.com/office/drawing/2014/main" id="{E326CFF3-1367-4647-8E21-2957D6890645}"/>
            </a:ext>
          </a:extLst>
        </xdr:cNvPr>
        <xdr:cNvSpPr/>
      </xdr:nvSpPr>
      <xdr:spPr>
        <a:xfrm>
          <a:off x="4177676" y="594207"/>
          <a:ext cx="1260000" cy="252000"/>
        </a:xfrm>
        <a:prstGeom prst="rect">
          <a:avLst/>
        </a:prstGeom>
        <a:noFill/>
        <a:ln>
          <a:solidFill>
            <a:schemeClr val="accent6">
              <a:lumMod val="50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>
              <a:solidFill>
                <a:schemeClr val="accent6">
                  <a:lumMod val="75000"/>
                </a:schemeClr>
              </a:solidFill>
            </a:rPr>
            <a:t>Deletar</a:t>
          </a: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  <xdr:twoCellAnchor>
    <xdr:from>
      <xdr:col>9</xdr:col>
      <xdr:colOff>683559</xdr:colOff>
      <xdr:row>1</xdr:row>
      <xdr:rowOff>22412</xdr:rowOff>
    </xdr:from>
    <xdr:to>
      <xdr:col>11</xdr:col>
      <xdr:colOff>369984</xdr:colOff>
      <xdr:row>1</xdr:row>
      <xdr:rowOff>289112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1DD788-60B7-4903-89C7-3E305A16CDB0}"/>
            </a:ext>
          </a:extLst>
        </xdr:cNvPr>
        <xdr:cNvSpPr/>
      </xdr:nvSpPr>
      <xdr:spPr>
        <a:xfrm>
          <a:off x="8827434" y="212912"/>
          <a:ext cx="16200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11</xdr:col>
      <xdr:colOff>606397</xdr:colOff>
      <xdr:row>1</xdr:row>
      <xdr:rowOff>22412</xdr:rowOff>
    </xdr:from>
    <xdr:to>
      <xdr:col>13</xdr:col>
      <xdr:colOff>264247</xdr:colOff>
      <xdr:row>1</xdr:row>
      <xdr:rowOff>289112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58D558E-23EC-491E-9C7B-9293EE3094EB}"/>
            </a:ext>
          </a:extLst>
        </xdr:cNvPr>
        <xdr:cNvSpPr/>
      </xdr:nvSpPr>
      <xdr:spPr>
        <a:xfrm>
          <a:off x="10683847" y="212912"/>
          <a:ext cx="16200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</xdr:row>
      <xdr:rowOff>0</xdr:rowOff>
    </xdr:from>
    <xdr:to>
      <xdr:col>12</xdr:col>
      <xdr:colOff>580800</xdr:colOff>
      <xdr:row>3</xdr:row>
      <xdr:rowOff>187500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71B119-78A5-4A75-AAFC-0A6379ECAA6C}"/>
            </a:ext>
          </a:extLst>
        </xdr:cNvPr>
        <xdr:cNvSpPr/>
      </xdr:nvSpPr>
      <xdr:spPr>
        <a:xfrm>
          <a:off x="10258425" y="381000"/>
          <a:ext cx="1800000" cy="3780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2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2</xdr:row>
      <xdr:rowOff>113475</xdr:rowOff>
    </xdr:from>
    <xdr:to>
      <xdr:col>1</xdr:col>
      <xdr:colOff>1295400</xdr:colOff>
      <xdr:row>2</xdr:row>
      <xdr:rowOff>365475</xdr:rowOff>
    </xdr:to>
    <xdr:sp macro="[0]!Nova_Venda" textlink="">
      <xdr:nvSpPr>
        <xdr:cNvPr id="2" name="Retângulo 1">
          <a:extLst>
            <a:ext uri="{FF2B5EF4-FFF2-40B4-BE49-F238E27FC236}">
              <a16:creationId xmlns:a16="http://schemas.microsoft.com/office/drawing/2014/main" id="{EDE2BFCA-14B8-4AD0-A833-F1EC63CD9DE8}"/>
            </a:ext>
          </a:extLst>
        </xdr:cNvPr>
        <xdr:cNvSpPr/>
      </xdr:nvSpPr>
      <xdr:spPr>
        <a:xfrm>
          <a:off x="895350" y="656400"/>
          <a:ext cx="1181100" cy="252000"/>
        </a:xfrm>
        <a:prstGeom prst="rect">
          <a:avLst/>
        </a:prstGeom>
        <a:noFill/>
        <a:ln>
          <a:solidFill>
            <a:schemeClr val="accent6">
              <a:lumMod val="50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accent6">
                  <a:lumMod val="75000"/>
                </a:schemeClr>
              </a:solidFill>
            </a:rPr>
            <a:t>Nova</a:t>
          </a:r>
          <a:r>
            <a:rPr lang="pt-BR" sz="1100" baseline="0">
              <a:solidFill>
                <a:schemeClr val="accent6">
                  <a:lumMod val="75000"/>
                </a:schemeClr>
              </a:solidFill>
            </a:rPr>
            <a:t> Venda</a:t>
          </a:r>
          <a:endParaRPr lang="pt-BR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1427629</xdr:colOff>
      <xdr:row>2</xdr:row>
      <xdr:rowOff>113475</xdr:rowOff>
    </xdr:from>
    <xdr:to>
      <xdr:col>3</xdr:col>
      <xdr:colOff>316006</xdr:colOff>
      <xdr:row>2</xdr:row>
      <xdr:rowOff>365475</xdr:rowOff>
    </xdr:to>
    <xdr:sp macro="[0]!Inserir_Produto" textlink="">
      <xdr:nvSpPr>
        <xdr:cNvPr id="3" name="Retângulo 2">
          <a:extLst>
            <a:ext uri="{FF2B5EF4-FFF2-40B4-BE49-F238E27FC236}">
              <a16:creationId xmlns:a16="http://schemas.microsoft.com/office/drawing/2014/main" id="{C4E9783A-4355-4E7B-B37D-998BF40F617C}"/>
            </a:ext>
          </a:extLst>
        </xdr:cNvPr>
        <xdr:cNvSpPr/>
      </xdr:nvSpPr>
      <xdr:spPr>
        <a:xfrm>
          <a:off x="2208679" y="656400"/>
          <a:ext cx="1183902" cy="252000"/>
        </a:xfrm>
        <a:prstGeom prst="rect">
          <a:avLst/>
        </a:prstGeom>
        <a:noFill/>
        <a:ln>
          <a:solidFill>
            <a:schemeClr val="accent6">
              <a:lumMod val="50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accent6">
                  <a:lumMod val="75000"/>
                </a:schemeClr>
              </a:solidFill>
            </a:rPr>
            <a:t>Inserir</a:t>
          </a:r>
          <a:r>
            <a:rPr lang="pt-BR" sz="1100" baseline="0">
              <a:solidFill>
                <a:schemeClr val="accent6">
                  <a:lumMod val="75000"/>
                </a:schemeClr>
              </a:solidFill>
            </a:rPr>
            <a:t> Produto</a:t>
          </a:r>
        </a:p>
        <a:p>
          <a:pPr algn="ctr"/>
          <a:endParaRPr lang="pt-BR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3</xdr:col>
      <xdr:colOff>449356</xdr:colOff>
      <xdr:row>2</xdr:row>
      <xdr:rowOff>113475</xdr:rowOff>
    </xdr:from>
    <xdr:to>
      <xdr:col>5</xdr:col>
      <xdr:colOff>294714</xdr:colOff>
      <xdr:row>2</xdr:row>
      <xdr:rowOff>365475</xdr:rowOff>
    </xdr:to>
    <xdr:sp macro="[0]!Deletar_Linha" textlink="">
      <xdr:nvSpPr>
        <xdr:cNvPr id="4" name="Retângulo 3">
          <a:extLst>
            <a:ext uri="{FF2B5EF4-FFF2-40B4-BE49-F238E27FC236}">
              <a16:creationId xmlns:a16="http://schemas.microsoft.com/office/drawing/2014/main" id="{5FF388F6-C81F-49D3-B3B6-FD2021AD7A51}"/>
            </a:ext>
          </a:extLst>
        </xdr:cNvPr>
        <xdr:cNvSpPr/>
      </xdr:nvSpPr>
      <xdr:spPr>
        <a:xfrm>
          <a:off x="3525931" y="656400"/>
          <a:ext cx="1188383" cy="252000"/>
        </a:xfrm>
        <a:prstGeom prst="rect">
          <a:avLst/>
        </a:prstGeom>
        <a:noFill/>
        <a:ln>
          <a:solidFill>
            <a:schemeClr val="accent6">
              <a:lumMod val="50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>
              <a:solidFill>
                <a:schemeClr val="accent6">
                  <a:lumMod val="75000"/>
                </a:schemeClr>
              </a:solidFill>
            </a:rPr>
            <a:t>Deletar</a:t>
          </a: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  <xdr:twoCellAnchor>
    <xdr:from>
      <xdr:col>9</xdr:col>
      <xdr:colOff>581025</xdr:colOff>
      <xdr:row>1</xdr:row>
      <xdr:rowOff>38100</xdr:rowOff>
    </xdr:from>
    <xdr:to>
      <xdr:col>11</xdr:col>
      <xdr:colOff>267450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0762EF-A074-4E18-A409-733E62E59236}"/>
            </a:ext>
          </a:extLst>
        </xdr:cNvPr>
        <xdr:cNvSpPr/>
      </xdr:nvSpPr>
      <xdr:spPr>
        <a:xfrm>
          <a:off x="8439150" y="228600"/>
          <a:ext cx="16200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11</xdr:col>
      <xdr:colOff>508907</xdr:colOff>
      <xdr:row>1</xdr:row>
      <xdr:rowOff>38100</xdr:rowOff>
    </xdr:from>
    <xdr:to>
      <xdr:col>13</xdr:col>
      <xdr:colOff>176282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C89FF59-1DE9-44CB-A134-03426E821682}"/>
            </a:ext>
          </a:extLst>
        </xdr:cNvPr>
        <xdr:cNvSpPr/>
      </xdr:nvSpPr>
      <xdr:spPr>
        <a:xfrm>
          <a:off x="10300607" y="228600"/>
          <a:ext cx="16200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12</xdr:col>
      <xdr:colOff>580800</xdr:colOff>
      <xdr:row>4</xdr:row>
      <xdr:rowOff>187500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EB0503-33EC-4289-A968-2919E1F37814}"/>
            </a:ext>
          </a:extLst>
        </xdr:cNvPr>
        <xdr:cNvSpPr/>
      </xdr:nvSpPr>
      <xdr:spPr>
        <a:xfrm>
          <a:off x="10258425" y="571500"/>
          <a:ext cx="1800000" cy="3780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3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52800</xdr:rowOff>
    </xdr:from>
    <xdr:to>
      <xdr:col>1</xdr:col>
      <xdr:colOff>1190625</xdr:colOff>
      <xdr:row>2</xdr:row>
      <xdr:rowOff>304800</xdr:rowOff>
    </xdr:to>
    <xdr:sp macro="[0]!Nova_Venda" textlink="">
      <xdr:nvSpPr>
        <xdr:cNvPr id="2" name="Retângulo 1">
          <a:extLst>
            <a:ext uri="{FF2B5EF4-FFF2-40B4-BE49-F238E27FC236}">
              <a16:creationId xmlns:a16="http://schemas.microsoft.com/office/drawing/2014/main" id="{4E9CA5B4-9FFF-4EC3-A0F0-F4CA1704DC1B}"/>
            </a:ext>
          </a:extLst>
        </xdr:cNvPr>
        <xdr:cNvSpPr/>
      </xdr:nvSpPr>
      <xdr:spPr>
        <a:xfrm>
          <a:off x="790575" y="595725"/>
          <a:ext cx="1181100" cy="252000"/>
        </a:xfrm>
        <a:prstGeom prst="rect">
          <a:avLst/>
        </a:prstGeom>
        <a:noFill/>
        <a:ln>
          <a:solidFill>
            <a:schemeClr val="accent6">
              <a:lumMod val="50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accent6">
                  <a:lumMod val="75000"/>
                </a:schemeClr>
              </a:solidFill>
            </a:rPr>
            <a:t>Nova</a:t>
          </a:r>
          <a:r>
            <a:rPr lang="pt-BR" sz="1100" baseline="0">
              <a:solidFill>
                <a:schemeClr val="accent6">
                  <a:lumMod val="75000"/>
                </a:schemeClr>
              </a:solidFill>
            </a:rPr>
            <a:t> Venda</a:t>
          </a:r>
          <a:endParaRPr lang="pt-BR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1322854</xdr:colOff>
      <xdr:row>2</xdr:row>
      <xdr:rowOff>52800</xdr:rowOff>
    </xdr:from>
    <xdr:to>
      <xdr:col>3</xdr:col>
      <xdr:colOff>211231</xdr:colOff>
      <xdr:row>2</xdr:row>
      <xdr:rowOff>304800</xdr:rowOff>
    </xdr:to>
    <xdr:sp macro="[0]!Inserir_Produto" textlink="">
      <xdr:nvSpPr>
        <xdr:cNvPr id="3" name="Retângulo 2">
          <a:extLst>
            <a:ext uri="{FF2B5EF4-FFF2-40B4-BE49-F238E27FC236}">
              <a16:creationId xmlns:a16="http://schemas.microsoft.com/office/drawing/2014/main" id="{D3BB2B7F-7BDE-4E90-8383-4981FC84C596}"/>
            </a:ext>
          </a:extLst>
        </xdr:cNvPr>
        <xdr:cNvSpPr/>
      </xdr:nvSpPr>
      <xdr:spPr>
        <a:xfrm>
          <a:off x="2103904" y="595725"/>
          <a:ext cx="1183902" cy="252000"/>
        </a:xfrm>
        <a:prstGeom prst="rect">
          <a:avLst/>
        </a:prstGeom>
        <a:noFill/>
        <a:ln>
          <a:solidFill>
            <a:schemeClr val="accent6">
              <a:lumMod val="50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accent6">
                  <a:lumMod val="75000"/>
                </a:schemeClr>
              </a:solidFill>
            </a:rPr>
            <a:t>Inserir</a:t>
          </a:r>
          <a:r>
            <a:rPr lang="pt-BR" sz="1100" baseline="0">
              <a:solidFill>
                <a:schemeClr val="accent6">
                  <a:lumMod val="75000"/>
                </a:schemeClr>
              </a:solidFill>
            </a:rPr>
            <a:t> Produto</a:t>
          </a:r>
        </a:p>
        <a:p>
          <a:pPr algn="ctr"/>
          <a:endParaRPr lang="pt-BR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3</xdr:col>
      <xdr:colOff>344581</xdr:colOff>
      <xdr:row>2</xdr:row>
      <xdr:rowOff>52800</xdr:rowOff>
    </xdr:from>
    <xdr:to>
      <xdr:col>5</xdr:col>
      <xdr:colOff>189939</xdr:colOff>
      <xdr:row>2</xdr:row>
      <xdr:rowOff>304800</xdr:rowOff>
    </xdr:to>
    <xdr:sp macro="[0]!Deletar_Linha" textlink="">
      <xdr:nvSpPr>
        <xdr:cNvPr id="4" name="Retângulo 3">
          <a:extLst>
            <a:ext uri="{FF2B5EF4-FFF2-40B4-BE49-F238E27FC236}">
              <a16:creationId xmlns:a16="http://schemas.microsoft.com/office/drawing/2014/main" id="{30AD1519-B5AB-4999-AC00-5FFEEA8DD1F7}"/>
            </a:ext>
          </a:extLst>
        </xdr:cNvPr>
        <xdr:cNvSpPr/>
      </xdr:nvSpPr>
      <xdr:spPr>
        <a:xfrm>
          <a:off x="3421156" y="595725"/>
          <a:ext cx="1188383" cy="252000"/>
        </a:xfrm>
        <a:prstGeom prst="rect">
          <a:avLst/>
        </a:prstGeom>
        <a:noFill/>
        <a:ln>
          <a:solidFill>
            <a:schemeClr val="accent6">
              <a:lumMod val="50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>
              <a:solidFill>
                <a:schemeClr val="accent6">
                  <a:lumMod val="75000"/>
                </a:schemeClr>
              </a:solidFill>
            </a:rPr>
            <a:t>Deletar</a:t>
          </a: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  <xdr:twoCellAnchor>
    <xdr:from>
      <xdr:col>9</xdr:col>
      <xdr:colOff>590550</xdr:colOff>
      <xdr:row>1</xdr:row>
      <xdr:rowOff>28575</xdr:rowOff>
    </xdr:from>
    <xdr:to>
      <xdr:col>11</xdr:col>
      <xdr:colOff>276975</xdr:colOff>
      <xdr:row>1</xdr:row>
      <xdr:rowOff>295275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13E511-FC4A-431E-89CB-D58788E7D997}"/>
            </a:ext>
          </a:extLst>
        </xdr:cNvPr>
        <xdr:cNvSpPr/>
      </xdr:nvSpPr>
      <xdr:spPr>
        <a:xfrm>
          <a:off x="8448675" y="219075"/>
          <a:ext cx="16200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11</xdr:col>
      <xdr:colOff>518432</xdr:colOff>
      <xdr:row>1</xdr:row>
      <xdr:rowOff>28575</xdr:rowOff>
    </xdr:from>
    <xdr:to>
      <xdr:col>13</xdr:col>
      <xdr:colOff>185807</xdr:colOff>
      <xdr:row>1</xdr:row>
      <xdr:rowOff>295275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82EB5E1-7C7C-41D7-AD85-DC2747B2DC03}"/>
            </a:ext>
          </a:extLst>
        </xdr:cNvPr>
        <xdr:cNvSpPr/>
      </xdr:nvSpPr>
      <xdr:spPr>
        <a:xfrm>
          <a:off x="10310132" y="219075"/>
          <a:ext cx="16200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</xdr:row>
      <xdr:rowOff>0</xdr:rowOff>
    </xdr:from>
    <xdr:to>
      <xdr:col>12</xdr:col>
      <xdr:colOff>580800</xdr:colOff>
      <xdr:row>3</xdr:row>
      <xdr:rowOff>187500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7F6914-A70B-423B-B945-65CE4E56EEED}"/>
            </a:ext>
          </a:extLst>
        </xdr:cNvPr>
        <xdr:cNvSpPr/>
      </xdr:nvSpPr>
      <xdr:spPr>
        <a:xfrm>
          <a:off x="10258425" y="381000"/>
          <a:ext cx="1800000" cy="3780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4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90075</xdr:rowOff>
    </xdr:from>
    <xdr:to>
      <xdr:col>1</xdr:col>
      <xdr:colOff>1181100</xdr:colOff>
      <xdr:row>2</xdr:row>
      <xdr:rowOff>342075</xdr:rowOff>
    </xdr:to>
    <xdr:sp macro="[0]!Nova_Venda" textlink="">
      <xdr:nvSpPr>
        <xdr:cNvPr id="2" name="Retângulo 1">
          <a:extLst>
            <a:ext uri="{FF2B5EF4-FFF2-40B4-BE49-F238E27FC236}">
              <a16:creationId xmlns:a16="http://schemas.microsoft.com/office/drawing/2014/main" id="{1E554366-0471-4EA4-AA77-FC69CB9B2580}"/>
            </a:ext>
          </a:extLst>
        </xdr:cNvPr>
        <xdr:cNvSpPr/>
      </xdr:nvSpPr>
      <xdr:spPr>
        <a:xfrm>
          <a:off x="781050" y="633000"/>
          <a:ext cx="1181100" cy="252000"/>
        </a:xfrm>
        <a:prstGeom prst="rect">
          <a:avLst/>
        </a:prstGeom>
        <a:noFill/>
        <a:ln>
          <a:solidFill>
            <a:schemeClr val="accent6">
              <a:lumMod val="50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accent6">
                  <a:lumMod val="75000"/>
                </a:schemeClr>
              </a:solidFill>
            </a:rPr>
            <a:t>Nova</a:t>
          </a:r>
          <a:r>
            <a:rPr lang="pt-BR" sz="1100" baseline="0">
              <a:solidFill>
                <a:schemeClr val="accent6">
                  <a:lumMod val="75000"/>
                </a:schemeClr>
              </a:solidFill>
            </a:rPr>
            <a:t> Venda</a:t>
          </a:r>
          <a:endParaRPr lang="pt-BR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1313329</xdr:colOff>
      <xdr:row>2</xdr:row>
      <xdr:rowOff>90075</xdr:rowOff>
    </xdr:from>
    <xdr:to>
      <xdr:col>3</xdr:col>
      <xdr:colOff>201706</xdr:colOff>
      <xdr:row>2</xdr:row>
      <xdr:rowOff>342075</xdr:rowOff>
    </xdr:to>
    <xdr:sp macro="[0]!Inserir_Produto" textlink="">
      <xdr:nvSpPr>
        <xdr:cNvPr id="3" name="Retângulo 2">
          <a:extLst>
            <a:ext uri="{FF2B5EF4-FFF2-40B4-BE49-F238E27FC236}">
              <a16:creationId xmlns:a16="http://schemas.microsoft.com/office/drawing/2014/main" id="{68C6DF46-7442-4F0E-9A8E-F7C91FECBD44}"/>
            </a:ext>
          </a:extLst>
        </xdr:cNvPr>
        <xdr:cNvSpPr/>
      </xdr:nvSpPr>
      <xdr:spPr>
        <a:xfrm>
          <a:off x="2094379" y="633000"/>
          <a:ext cx="1183902" cy="252000"/>
        </a:xfrm>
        <a:prstGeom prst="rect">
          <a:avLst/>
        </a:prstGeom>
        <a:noFill/>
        <a:ln>
          <a:solidFill>
            <a:schemeClr val="accent6">
              <a:lumMod val="50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accent6">
                  <a:lumMod val="75000"/>
                </a:schemeClr>
              </a:solidFill>
            </a:rPr>
            <a:t>Inserir</a:t>
          </a:r>
          <a:r>
            <a:rPr lang="pt-BR" sz="1100" baseline="0">
              <a:solidFill>
                <a:schemeClr val="accent6">
                  <a:lumMod val="75000"/>
                </a:schemeClr>
              </a:solidFill>
            </a:rPr>
            <a:t> Produto</a:t>
          </a:r>
        </a:p>
        <a:p>
          <a:pPr algn="ctr"/>
          <a:endParaRPr lang="pt-BR" sz="110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3</xdr:col>
      <xdr:colOff>335056</xdr:colOff>
      <xdr:row>2</xdr:row>
      <xdr:rowOff>90075</xdr:rowOff>
    </xdr:from>
    <xdr:to>
      <xdr:col>4</xdr:col>
      <xdr:colOff>475689</xdr:colOff>
      <xdr:row>2</xdr:row>
      <xdr:rowOff>342075</xdr:rowOff>
    </xdr:to>
    <xdr:sp macro="[0]!Deletar_Linha" textlink="">
      <xdr:nvSpPr>
        <xdr:cNvPr id="4" name="Retângulo 3">
          <a:extLst>
            <a:ext uri="{FF2B5EF4-FFF2-40B4-BE49-F238E27FC236}">
              <a16:creationId xmlns:a16="http://schemas.microsoft.com/office/drawing/2014/main" id="{F86C0B8F-9F44-4603-9FC7-1E318CAA210E}"/>
            </a:ext>
          </a:extLst>
        </xdr:cNvPr>
        <xdr:cNvSpPr/>
      </xdr:nvSpPr>
      <xdr:spPr>
        <a:xfrm>
          <a:off x="3411631" y="633000"/>
          <a:ext cx="1188383" cy="252000"/>
        </a:xfrm>
        <a:prstGeom prst="rect">
          <a:avLst/>
        </a:prstGeom>
        <a:noFill/>
        <a:ln>
          <a:solidFill>
            <a:schemeClr val="accent6">
              <a:lumMod val="50000"/>
            </a:schemeClr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>
              <a:solidFill>
                <a:schemeClr val="accent6">
                  <a:lumMod val="75000"/>
                </a:schemeClr>
              </a:solidFill>
            </a:rPr>
            <a:t>Deletar</a:t>
          </a:r>
        </a:p>
        <a:p>
          <a:pPr algn="l"/>
          <a:r>
            <a:rPr lang="pt-BR"/>
            <a:t> </a:t>
          </a:r>
          <a:endParaRPr lang="pt-BR" sz="1100"/>
        </a:p>
      </xdr:txBody>
    </xdr:sp>
    <xdr:clientData/>
  </xdr:twoCellAnchor>
  <xdr:twoCellAnchor>
    <xdr:from>
      <xdr:col>10</xdr:col>
      <xdr:colOff>76198</xdr:colOff>
      <xdr:row>1</xdr:row>
      <xdr:rowOff>47625</xdr:rowOff>
    </xdr:from>
    <xdr:to>
      <xdr:col>11</xdr:col>
      <xdr:colOff>524623</xdr:colOff>
      <xdr:row>1</xdr:row>
      <xdr:rowOff>314325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8CC1C6-AE7A-47C6-B5B5-1E9075AC0B2A}"/>
            </a:ext>
          </a:extLst>
        </xdr:cNvPr>
        <xdr:cNvSpPr/>
      </xdr:nvSpPr>
      <xdr:spPr>
        <a:xfrm>
          <a:off x="9077323" y="238125"/>
          <a:ext cx="16200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Vendas</a:t>
          </a:r>
        </a:p>
      </xdr:txBody>
    </xdr:sp>
    <xdr:clientData/>
  </xdr:twoCellAnchor>
  <xdr:twoCellAnchor>
    <xdr:from>
      <xdr:col>11</xdr:col>
      <xdr:colOff>527957</xdr:colOff>
      <xdr:row>1</xdr:row>
      <xdr:rowOff>47625</xdr:rowOff>
    </xdr:from>
    <xdr:to>
      <xdr:col>13</xdr:col>
      <xdr:colOff>262007</xdr:colOff>
      <xdr:row>1</xdr:row>
      <xdr:rowOff>314325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CADD452-5315-4C13-936D-CCEDB3C4473F}"/>
            </a:ext>
          </a:extLst>
        </xdr:cNvPr>
        <xdr:cNvSpPr/>
      </xdr:nvSpPr>
      <xdr:spPr>
        <a:xfrm>
          <a:off x="10700657" y="238125"/>
          <a:ext cx="1620000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u="none">
              <a:ln>
                <a:noFill/>
              </a:ln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</xdr:row>
      <xdr:rowOff>3000</xdr:rowOff>
    </xdr:from>
    <xdr:to>
      <xdr:col>12</xdr:col>
      <xdr:colOff>580800</xdr:colOff>
      <xdr:row>6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6C2100-26AF-4E0F-9156-A224F133C34B}"/>
            </a:ext>
          </a:extLst>
        </xdr:cNvPr>
        <xdr:cNvSpPr/>
      </xdr:nvSpPr>
      <xdr:spPr>
        <a:xfrm>
          <a:off x="10258425" y="765000"/>
          <a:ext cx="1800000" cy="3780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Semana</a:t>
          </a:r>
          <a:r>
            <a:rPr lang="pt-BR" sz="1100" baseline="0">
              <a:solidFill>
                <a:schemeClr val="accent6"/>
              </a:solidFill>
            </a:rPr>
            <a:t> 5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tevão Tavares" refreshedDate="45047.663522106479" createdVersion="8" refreshedVersion="8" minRefreshableVersion="3" recordCount="25" xr:uid="{429D064C-A38C-4FBA-935C-61797FD16A5B}">
  <cacheSource type="worksheet">
    <worksheetSource name="Tabela15"/>
  </cacheSource>
  <cacheFields count="12">
    <cacheField name="Id da Venda" numFmtId="0">
      <sharedItems containsSemiMixedTypes="0" containsString="0" containsNumber="1" containsInteger="1" minValue="1" maxValue="13"/>
    </cacheField>
    <cacheField name="Data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to" numFmtId="0">
      <sharedItems count="13">
        <s v="Amendoim"/>
        <s v="Caixa de Fósforo"/>
        <s v="Carne"/>
        <s v="Cerveja"/>
        <s v="Feijão"/>
        <s v="Refrigerante"/>
        <s v="Pão de Forma"/>
        <s v="Vagem"/>
        <s v="Queijo"/>
        <s v="Alface"/>
        <s v="Bala"/>
        <s v="Arroz"/>
        <s v="Leite"/>
      </sharedItems>
    </cacheField>
    <cacheField name="Medida" numFmtId="0">
      <sharedItems/>
    </cacheField>
    <cacheField name="Quantidade" numFmtId="0">
      <sharedItems containsSemiMixedTypes="0" containsString="0" containsNumber="1" minValue="1" maxValue="24"/>
    </cacheField>
    <cacheField name="Preço Unitário" numFmtId="44">
      <sharedItems containsSemiMixedTypes="0" containsString="0" containsNumber="1" minValue="0.79" maxValue="25.9"/>
    </cacheField>
    <cacheField name="SubTotal" numFmtId="44">
      <sharedItems containsSemiMixedTypes="0" containsString="0" containsNumber="1" minValue="0.79" maxValue="159"/>
    </cacheField>
    <cacheField name="Desconto" numFmtId="9">
      <sharedItems containsString="0" containsBlank="1" containsNumber="1" minValue="0.03" maxValue="0.03"/>
    </cacheField>
    <cacheField name="Entrega" numFmtId="0">
      <sharedItems count="4">
        <s v="Zona Sul"/>
        <s v="Loja"/>
        <s v="Zona Norte"/>
        <s v="Zona Oeste"/>
      </sharedItems>
    </cacheField>
    <cacheField name="Valor da Entrega" numFmtId="44">
      <sharedItems containsSemiMixedTypes="0" containsString="0" containsNumber="1" minValue="0" maxValue="8"/>
    </cacheField>
    <cacheField name="Total" numFmtId="44">
      <sharedItems containsSemiMixedTypes="0" containsString="0" containsNumber="1" minValue="0.76629999999999998" maxValue="159"/>
    </cacheField>
    <cacheField name="Total para Cliente" numFmtId="44">
      <sharedItems containsSemiMixedTypes="0" containsString="0" containsNumber="1" minValue="0" maxValue="230.32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tevão Tavares" refreshedDate="45047.671569328704" createdVersion="8" refreshedVersion="8" minRefreshableVersion="3" recordCount="7" xr:uid="{A9CD27D9-C381-4275-9F6E-C1C4E5EB0E32}">
  <cacheSource type="worksheet">
    <worksheetSource name="Tabela1517"/>
  </cacheSource>
  <cacheFields count="12">
    <cacheField name="Id da Venda" numFmtId="0">
      <sharedItems containsSemiMixedTypes="0" containsString="0" containsNumber="1" containsInteger="1" minValue="1" maxValue="4"/>
    </cacheField>
    <cacheField name="Data" numFmtId="14">
      <sharedItems containsSemiMixedTypes="0" containsNonDate="0" containsDate="1" containsString="0" minDate="2023-04-29T00:00:00" maxDate="2023-05-02T00:00:00" count="2">
        <d v="2023-05-01T00:00:00"/>
        <d v="2023-04-29T00:00:00"/>
      </sharedItems>
    </cacheField>
    <cacheField name="Produto" numFmtId="0">
      <sharedItems count="6">
        <s v="Alface"/>
        <s v="Vodka"/>
        <s v="Bala"/>
        <s v="Carne"/>
        <s v="Cenoura"/>
        <s v="Arroz"/>
      </sharedItems>
    </cacheField>
    <cacheField name="Medida" numFmtId="0">
      <sharedItems/>
    </cacheField>
    <cacheField name="Quantidade" numFmtId="0">
      <sharedItems containsSemiMixedTypes="0" containsString="0" containsNumber="1" containsInteger="1" minValue="1" maxValue="55"/>
    </cacheField>
    <cacheField name="Preço Unitário" numFmtId="44">
      <sharedItems containsSemiMixedTypes="0" containsString="0" containsNumber="1" minValue="1.99" maxValue="54.9"/>
    </cacheField>
    <cacheField name="SubTotal" numFmtId="44">
      <sharedItems containsSemiMixedTypes="0" containsString="0" containsNumber="1" minValue="3.99" maxValue="109.45"/>
    </cacheField>
    <cacheField name="Desconto" numFmtId="9">
      <sharedItems containsNonDate="0" containsString="0" containsBlank="1"/>
    </cacheField>
    <cacheField name="Entrega" numFmtId="0">
      <sharedItems count="4">
        <s v="Zona Norte"/>
        <s v="Loja"/>
        <s v="Zona Sul"/>
        <s v="Zona Oeste"/>
      </sharedItems>
    </cacheField>
    <cacheField name="Valor da Entrega" numFmtId="44">
      <sharedItems containsSemiMixedTypes="0" containsString="0" containsNumber="1" minValue="0" maxValue="8"/>
    </cacheField>
    <cacheField name="Total" numFmtId="44">
      <sharedItems containsSemiMixedTypes="0" containsString="0" containsNumber="1" minValue="3.99" maxValue="109.45"/>
    </cacheField>
    <cacheField name="Total para Cliente" numFmtId="44">
      <sharedItems containsMixedTypes="1" containsNumber="1" minValue="20.450000000000003" maxValue="109.88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tevão Tavares" refreshedDate="45047.672332175927" createdVersion="8" refreshedVersion="8" minRefreshableVersion="3" recordCount="5" xr:uid="{37712A67-7A44-49E4-A781-80A14F7D9B74}">
  <cacheSource type="worksheet">
    <worksheetSource name="Tabela1518"/>
  </cacheSource>
  <cacheFields count="12">
    <cacheField name="Id da Venda" numFmtId="0">
      <sharedItems containsSemiMixedTypes="0" containsString="0" containsNumber="1" containsInteger="1" minValue="1" maxValue="4"/>
    </cacheField>
    <cacheField name="Data" numFmtId="14">
      <sharedItems containsSemiMixedTypes="0" containsNonDate="0" containsDate="1" containsString="0" minDate="2015-07-02T00:00:00" maxDate="2023-05-02T00:00:00" count="3">
        <d v="2023-05-01T00:00:00"/>
        <d v="2023-04-29T00:00:00"/>
        <d v="2015-07-02T00:00:00"/>
      </sharedItems>
    </cacheField>
    <cacheField name="Produto" numFmtId="0">
      <sharedItems count="4">
        <s v="Amendoim"/>
        <s v="Arroz"/>
        <s v="Suco"/>
        <s v="Bala"/>
      </sharedItems>
    </cacheField>
    <cacheField name="Medida" numFmtId="0">
      <sharedItems/>
    </cacheField>
    <cacheField name="Quantidade" numFmtId="0">
      <sharedItems containsSemiMixedTypes="0" containsString="0" containsNumber="1" containsInteger="1" minValue="1" maxValue="5"/>
    </cacheField>
    <cacheField name="Preço Unitário" numFmtId="44">
      <sharedItems containsSemiMixedTypes="0" containsString="0" containsNumber="1" minValue="1.1499999999999999" maxValue="3.45"/>
    </cacheField>
    <cacheField name="SubTotal" numFmtId="44">
      <sharedItems containsSemiMixedTypes="0" containsString="0" containsNumber="1" minValue="1.99" maxValue="12.450000000000001"/>
    </cacheField>
    <cacheField name="Desconto" numFmtId="9">
      <sharedItems containsNonDate="0" containsString="0" containsBlank="1"/>
    </cacheField>
    <cacheField name="Entrega" numFmtId="0">
      <sharedItems count="3">
        <s v="Loja"/>
        <s v="Zona Norte"/>
        <s v="Zona Sul"/>
      </sharedItems>
    </cacheField>
    <cacheField name="Valor da Entrega" numFmtId="44">
      <sharedItems containsSemiMixedTypes="0" containsString="0" containsNumber="1" minValue="0" maxValue="6.5"/>
    </cacheField>
    <cacheField name="Total" numFmtId="44">
      <sharedItems containsSemiMixedTypes="0" containsString="0" containsNumber="1" minValue="1.99" maxValue="18.950000000000003"/>
    </cacheField>
    <cacheField name="Total para Cliente" numFmtId="44">
      <sharedItems containsSemiMixedTypes="0" containsString="0" containsNumber="1" minValue="0" maxValue="18.950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tevão Tavares" refreshedDate="45047.673426157409" createdVersion="8" refreshedVersion="8" minRefreshableVersion="3" recordCount="1" xr:uid="{8A47E927-C633-4A83-A5F9-A3EE6F8B3E8A}">
  <cacheSource type="worksheet">
    <worksheetSource name="Tabela1519"/>
  </cacheSource>
  <cacheFields count="12">
    <cacheField name="Id da Venda" numFmtId="0">
      <sharedItems containsSemiMixedTypes="0" containsString="0" containsNumber="1" containsInteger="1" minValue="1" maxValue="1"/>
    </cacheField>
    <cacheField name="Data" numFmtId="14">
      <sharedItems containsSemiMixedTypes="0" containsNonDate="0" containsDate="1" containsString="0" minDate="2023-05-01T00:00:00" maxDate="2023-05-02T00:00:00" count="1">
        <d v="2023-05-01T00:00:00"/>
      </sharedItems>
    </cacheField>
    <cacheField name="Produto" numFmtId="0">
      <sharedItems count="1">
        <s v="Cenoura"/>
      </sharedItems>
    </cacheField>
    <cacheField name="Medida" numFmtId="0">
      <sharedItems/>
    </cacheField>
    <cacheField name="Quantidade" numFmtId="0">
      <sharedItems containsSemiMixedTypes="0" containsString="0" containsNumber="1" containsInteger="1" minValue="5" maxValue="5"/>
    </cacheField>
    <cacheField name="Preço Unitário" numFmtId="44">
      <sharedItems containsSemiMixedTypes="0" containsString="0" containsNumber="1" minValue="3.99" maxValue="3.99"/>
    </cacheField>
    <cacheField name="SubTotal" numFmtId="44">
      <sharedItems containsSemiMixedTypes="0" containsString="0" containsNumber="1" minValue="19.950000000000003" maxValue="19.950000000000003"/>
    </cacheField>
    <cacheField name="Desconto" numFmtId="9">
      <sharedItems containsNonDate="0" containsString="0" containsBlank="1"/>
    </cacheField>
    <cacheField name="Entrega" numFmtId="0">
      <sharedItems count="1">
        <s v="Zona Norte"/>
      </sharedItems>
    </cacheField>
    <cacheField name="Valor da Entrega" numFmtId="44">
      <sharedItems containsSemiMixedTypes="0" containsString="0" containsNumber="1" minValue="6.5" maxValue="6.5"/>
    </cacheField>
    <cacheField name="Total" numFmtId="44">
      <sharedItems containsSemiMixedTypes="0" containsString="0" containsNumber="1" minValue="26.450000000000003" maxValue="26.450000000000003"/>
    </cacheField>
    <cacheField name="Total para Cliente" numFmtId="44">
      <sharedItems containsSemiMixedTypes="0" containsString="0" containsNumber="1" minValue="26.450000000000003" maxValue="26.450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tevão Tavares" refreshedDate="45047.673901504633" createdVersion="8" refreshedVersion="8" minRefreshableVersion="3" recordCount="3" xr:uid="{A798A3DF-F544-4350-B06F-34A49A9C6D4C}">
  <cacheSource type="worksheet">
    <worksheetSource name="Tabela1520"/>
  </cacheSource>
  <cacheFields count="12">
    <cacheField name="Id da Venda" numFmtId="0">
      <sharedItems containsSemiMixedTypes="0" containsString="0" containsNumber="1" containsInteger="1" minValue="1" maxValue="3"/>
    </cacheField>
    <cacheField name="Data" numFmtId="14">
      <sharedItems containsSemiMixedTypes="0" containsNonDate="0" containsDate="1" containsString="0" minDate="2015-07-02T00:00:00" maxDate="2023-04-30T00:00:00" count="2">
        <d v="2023-04-29T00:00:00"/>
        <d v="2015-07-02T00:00:00"/>
      </sharedItems>
    </cacheField>
    <cacheField name="Produto" numFmtId="0">
      <sharedItems count="3">
        <s v="Cenoura"/>
        <s v="Arroz"/>
        <s v="Cerveja"/>
      </sharedItems>
    </cacheField>
    <cacheField name="Medida" numFmtId="0">
      <sharedItems/>
    </cacheField>
    <cacheField name="Quantidade" numFmtId="0">
      <sharedItems containsSemiMixedTypes="0" containsString="0" containsNumber="1" containsInteger="1" minValue="1" maxValue="5"/>
    </cacheField>
    <cacheField name="Preço Unitário" numFmtId="44">
      <sharedItems containsSemiMixedTypes="0" containsString="0" containsNumber="1" minValue="2.19" maxValue="3.99"/>
    </cacheField>
    <cacheField name="SubTotal" numFmtId="44">
      <sharedItems containsSemiMixedTypes="0" containsString="0" containsNumber="1" minValue="2.19" maxValue="12.450000000000001"/>
    </cacheField>
    <cacheField name="Desconto" numFmtId="9">
      <sharedItems containsNonDate="0" containsString="0" containsBlank="1"/>
    </cacheField>
    <cacheField name="Entrega" numFmtId="0">
      <sharedItems count="3">
        <s v="Zona Oeste"/>
        <s v="Zona Sul"/>
        <s v="Loja"/>
      </sharedItems>
    </cacheField>
    <cacheField name="Valor da Entrega" numFmtId="44">
      <sharedItems containsSemiMixedTypes="0" containsString="0" containsNumber="1" minValue="0" maxValue="8"/>
    </cacheField>
    <cacheField name="Total" numFmtId="44">
      <sharedItems containsSemiMixedTypes="0" containsString="0" containsNumber="1" minValue="2.19" maxValue="18.950000000000003"/>
    </cacheField>
    <cacheField name="Total para Cliente" numFmtId="44">
      <sharedItems containsSemiMixedTypes="0" containsString="0" containsNumber="1" minValue="2.19" maxValue="18.950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3"/>
    <x v="0"/>
    <x v="0"/>
    <s v="Pacote"/>
    <n v="10"/>
    <n v="1.1499999999999999"/>
    <n v="11.5"/>
    <m/>
    <x v="0"/>
    <n v="0"/>
    <n v="11.5"/>
    <n v="0"/>
  </r>
  <r>
    <n v="13"/>
    <x v="0"/>
    <x v="1"/>
    <s v="Pacote"/>
    <n v="1"/>
    <n v="0.79"/>
    <n v="0.79"/>
    <n v="0.03"/>
    <x v="0"/>
    <n v="0"/>
    <n v="0.76629999999999998"/>
    <n v="0"/>
  </r>
  <r>
    <n v="13"/>
    <x v="0"/>
    <x v="2"/>
    <s v="Kg"/>
    <n v="10"/>
    <n v="15.9"/>
    <n v="159"/>
    <m/>
    <x v="0"/>
    <n v="0"/>
    <n v="159"/>
    <n v="0"/>
  </r>
  <r>
    <n v="13"/>
    <x v="0"/>
    <x v="3"/>
    <s v="Lata"/>
    <n v="24"/>
    <n v="2.19"/>
    <n v="52.56"/>
    <m/>
    <x v="0"/>
    <n v="6.5"/>
    <n v="59.06"/>
    <n v="230.3263"/>
  </r>
  <r>
    <n v="12"/>
    <x v="1"/>
    <x v="3"/>
    <s v="Lata"/>
    <n v="1"/>
    <n v="2.19"/>
    <n v="2.19"/>
    <m/>
    <x v="1"/>
    <n v="0"/>
    <n v="2.19"/>
    <n v="2.19"/>
  </r>
  <r>
    <n v="11"/>
    <x v="1"/>
    <x v="3"/>
    <s v="Lata"/>
    <n v="10"/>
    <n v="2.19"/>
    <n v="21.9"/>
    <m/>
    <x v="1"/>
    <n v="0"/>
    <n v="21.9"/>
    <n v="21.9"/>
  </r>
  <r>
    <n v="10"/>
    <x v="1"/>
    <x v="4"/>
    <s v="Kg"/>
    <n v="6"/>
    <n v="4.28"/>
    <n v="25.68"/>
    <m/>
    <x v="1"/>
    <n v="0"/>
    <n v="25.68"/>
    <n v="0"/>
  </r>
  <r>
    <n v="10"/>
    <x v="1"/>
    <x v="5"/>
    <s v="Litro"/>
    <n v="4"/>
    <n v="2.39"/>
    <n v="9.56"/>
    <m/>
    <x v="1"/>
    <n v="0"/>
    <n v="9.56"/>
    <n v="35.24"/>
  </r>
  <r>
    <n v="9"/>
    <x v="2"/>
    <x v="6"/>
    <s v="Unidade"/>
    <n v="5"/>
    <n v="2.89"/>
    <n v="14.450000000000001"/>
    <m/>
    <x v="1"/>
    <n v="0"/>
    <n v="14.450000000000001"/>
    <n v="0"/>
  </r>
  <r>
    <n v="9"/>
    <x v="2"/>
    <x v="7"/>
    <s v="Kg"/>
    <n v="2"/>
    <n v="9.58"/>
    <n v="19.16"/>
    <m/>
    <x v="1"/>
    <n v="0"/>
    <n v="19.16"/>
    <n v="0"/>
  </r>
  <r>
    <n v="9"/>
    <x v="2"/>
    <x v="8"/>
    <s v="Kg"/>
    <n v="1.5"/>
    <n v="25.9"/>
    <n v="38.849999999999994"/>
    <m/>
    <x v="1"/>
    <n v="0"/>
    <n v="38.849999999999994"/>
    <n v="0"/>
  </r>
  <r>
    <n v="9"/>
    <x v="2"/>
    <x v="4"/>
    <s v="Kg"/>
    <n v="4"/>
    <n v="4.28"/>
    <n v="17.12"/>
    <m/>
    <x v="1"/>
    <n v="0"/>
    <n v="17.12"/>
    <n v="89.58"/>
  </r>
  <r>
    <n v="8"/>
    <x v="2"/>
    <x v="3"/>
    <s v="Lata"/>
    <n v="20"/>
    <n v="2.19"/>
    <n v="43.8"/>
    <m/>
    <x v="0"/>
    <n v="6.5"/>
    <n v="50.3"/>
    <n v="50.3"/>
  </r>
  <r>
    <n v="7"/>
    <x v="2"/>
    <x v="3"/>
    <s v="Lata"/>
    <n v="20"/>
    <n v="2.19"/>
    <n v="43.8"/>
    <m/>
    <x v="1"/>
    <n v="0"/>
    <n v="43.8"/>
    <n v="43.8"/>
  </r>
  <r>
    <n v="6"/>
    <x v="2"/>
    <x v="1"/>
    <s v="Pacote"/>
    <n v="2"/>
    <n v="0.79"/>
    <n v="1.58"/>
    <m/>
    <x v="1"/>
    <n v="0"/>
    <n v="1.58"/>
    <n v="0"/>
  </r>
  <r>
    <n v="6"/>
    <x v="2"/>
    <x v="2"/>
    <s v="Kg"/>
    <n v="6"/>
    <n v="15.9"/>
    <n v="95.4"/>
    <m/>
    <x v="1"/>
    <n v="0"/>
    <n v="95.4"/>
    <n v="0"/>
  </r>
  <r>
    <n v="6"/>
    <x v="2"/>
    <x v="3"/>
    <s v="Lata"/>
    <n v="12"/>
    <n v="2.19"/>
    <n v="26.28"/>
    <m/>
    <x v="1"/>
    <n v="0"/>
    <n v="26.28"/>
    <n v="123.26"/>
  </r>
  <r>
    <n v="5"/>
    <x v="3"/>
    <x v="9"/>
    <s v="Unidade"/>
    <n v="3"/>
    <n v="2.99"/>
    <n v="8.9700000000000006"/>
    <m/>
    <x v="0"/>
    <n v="6.5"/>
    <n v="15.47"/>
    <n v="15.47"/>
  </r>
  <r>
    <n v="4"/>
    <x v="3"/>
    <x v="10"/>
    <s v="Pacote"/>
    <n v="2"/>
    <n v="1.99"/>
    <n v="3.98"/>
    <m/>
    <x v="2"/>
    <n v="0"/>
    <n v="3.98"/>
    <n v="0"/>
  </r>
  <r>
    <n v="4"/>
    <x v="3"/>
    <x v="11"/>
    <s v="Kg"/>
    <n v="5"/>
    <n v="2.4900000000000002"/>
    <n v="12.450000000000001"/>
    <m/>
    <x v="2"/>
    <n v="6.5"/>
    <n v="18.950000000000003"/>
    <n v="22.930000000000003"/>
  </r>
  <r>
    <n v="3"/>
    <x v="3"/>
    <x v="12"/>
    <s v="Litro"/>
    <n v="6"/>
    <n v="1.49"/>
    <n v="8.94"/>
    <m/>
    <x v="3"/>
    <n v="8"/>
    <n v="16.939999999999998"/>
    <n v="16.939999999999998"/>
  </r>
  <r>
    <n v="2"/>
    <x v="3"/>
    <x v="10"/>
    <s v="Pacote"/>
    <n v="1"/>
    <n v="1.99"/>
    <n v="1.99"/>
    <m/>
    <x v="2"/>
    <n v="6.5"/>
    <n v="8.49"/>
    <n v="8.49"/>
  </r>
  <r>
    <n v="1"/>
    <x v="3"/>
    <x v="11"/>
    <s v="Kg"/>
    <n v="2"/>
    <n v="2.4900000000000002"/>
    <n v="4.9800000000000004"/>
    <m/>
    <x v="1"/>
    <n v="0"/>
    <n v="4.9800000000000004"/>
    <n v="0"/>
  </r>
  <r>
    <n v="1"/>
    <x v="3"/>
    <x v="0"/>
    <s v="Pacote"/>
    <n v="3"/>
    <n v="1.1499999999999999"/>
    <n v="3.4499999999999997"/>
    <m/>
    <x v="1"/>
    <n v="0"/>
    <n v="3.4499999999999997"/>
    <n v="0"/>
  </r>
  <r>
    <n v="1"/>
    <x v="3"/>
    <x v="10"/>
    <s v="Pacote"/>
    <n v="1"/>
    <n v="1.99"/>
    <n v="1.99"/>
    <m/>
    <x v="1"/>
    <n v="0"/>
    <n v="1.99"/>
    <n v="10.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n v="4"/>
    <x v="0"/>
    <x v="0"/>
    <s v="Unidade"/>
    <n v="7"/>
    <n v="2.99"/>
    <n v="20.93"/>
    <m/>
    <x v="0"/>
    <n v="0"/>
    <n v="20.93"/>
    <s v=""/>
  </r>
  <r>
    <n v="4"/>
    <x v="1"/>
    <x v="1"/>
    <s v="Garrafa"/>
    <n v="1"/>
    <n v="54.9"/>
    <n v="54.9"/>
    <m/>
    <x v="0"/>
    <n v="6.5"/>
    <n v="61.4"/>
    <n v="82.33"/>
  </r>
  <r>
    <n v="3"/>
    <x v="1"/>
    <x v="2"/>
    <s v="Pacote"/>
    <n v="55"/>
    <n v="1.99"/>
    <n v="109.45"/>
    <m/>
    <x v="1"/>
    <n v="0"/>
    <n v="109.45"/>
    <n v="109.45"/>
  </r>
  <r>
    <n v="2"/>
    <x v="1"/>
    <x v="3"/>
    <s v="Kg"/>
    <n v="5"/>
    <n v="15.9"/>
    <n v="79.5"/>
    <m/>
    <x v="2"/>
    <n v="0"/>
    <n v="79.5"/>
    <s v=""/>
  </r>
  <r>
    <n v="2"/>
    <x v="0"/>
    <x v="4"/>
    <s v="Kg"/>
    <n v="1"/>
    <n v="3.99"/>
    <n v="3.99"/>
    <m/>
    <x v="2"/>
    <n v="0"/>
    <n v="3.99"/>
    <s v=""/>
  </r>
  <r>
    <n v="2"/>
    <x v="0"/>
    <x v="2"/>
    <s v="Pacote"/>
    <n v="10"/>
    <n v="1.99"/>
    <n v="19.899999999999999"/>
    <m/>
    <x v="2"/>
    <n v="6.5"/>
    <n v="26.4"/>
    <n v="109.88999999999999"/>
  </r>
  <r>
    <n v="1"/>
    <x v="0"/>
    <x v="5"/>
    <s v="Kg"/>
    <n v="5"/>
    <n v="2.4900000000000002"/>
    <n v="12.450000000000001"/>
    <m/>
    <x v="3"/>
    <n v="8"/>
    <n v="20.450000000000003"/>
    <n v="20.45000000000000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n v="4"/>
    <x v="0"/>
    <x v="0"/>
    <s v="Pacote"/>
    <n v="4"/>
    <n v="1.1499999999999999"/>
    <n v="4.5999999999999996"/>
    <m/>
    <x v="0"/>
    <n v="0"/>
    <n v="4.5999999999999996"/>
    <n v="4.5999999999999996"/>
  </r>
  <r>
    <n v="3"/>
    <x v="1"/>
    <x v="1"/>
    <s v="Kg"/>
    <n v="5"/>
    <n v="2.4900000000000002"/>
    <n v="12.450000000000001"/>
    <m/>
    <x v="1"/>
    <n v="6.5"/>
    <n v="18.950000000000003"/>
    <n v="18.950000000000003"/>
  </r>
  <r>
    <n v="2"/>
    <x v="1"/>
    <x v="2"/>
    <s v="Litro"/>
    <n v="2"/>
    <n v="3.45"/>
    <n v="6.9"/>
    <m/>
    <x v="2"/>
    <n v="6.5"/>
    <n v="13.4"/>
    <n v="13.4"/>
  </r>
  <r>
    <n v="1"/>
    <x v="2"/>
    <x v="0"/>
    <s v="Pacote"/>
    <n v="3"/>
    <n v="1.1499999999999999"/>
    <n v="3.4499999999999997"/>
    <m/>
    <x v="0"/>
    <n v="0"/>
    <n v="3.4499999999999997"/>
    <n v="0"/>
  </r>
  <r>
    <n v="1"/>
    <x v="2"/>
    <x v="3"/>
    <s v="Pacote"/>
    <n v="1"/>
    <n v="1.99"/>
    <n v="1.99"/>
    <m/>
    <x v="0"/>
    <n v="0"/>
    <n v="1.99"/>
    <n v="5.439999999999999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x v="0"/>
    <s v="Kg"/>
    <n v="5"/>
    <n v="3.99"/>
    <n v="19.950000000000003"/>
    <m/>
    <x v="0"/>
    <n v="6.5"/>
    <n v="26.450000000000003"/>
    <n v="26.45000000000000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3"/>
    <x v="0"/>
    <x v="0"/>
    <s v="Kg"/>
    <n v="1"/>
    <n v="3.99"/>
    <n v="3.99"/>
    <m/>
    <x v="0"/>
    <n v="8"/>
    <n v="11.99"/>
    <n v="11.99"/>
  </r>
  <r>
    <n v="2"/>
    <x v="0"/>
    <x v="1"/>
    <s v="Kg"/>
    <n v="5"/>
    <n v="2.4900000000000002"/>
    <n v="12.450000000000001"/>
    <m/>
    <x v="1"/>
    <n v="6.5"/>
    <n v="18.950000000000003"/>
    <n v="18.950000000000003"/>
  </r>
  <r>
    <n v="1"/>
    <x v="1"/>
    <x v="2"/>
    <s v="Lata"/>
    <n v="1"/>
    <n v="2.19"/>
    <n v="2.19"/>
    <m/>
    <x v="2"/>
    <n v="0"/>
    <n v="2.19"/>
    <n v="2.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518FFD-F241-474D-A4C6-C846C4582E7D}" name="Tabela dinâmica6" cacheId="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8" firstHeaderRow="0" firstDataRow="1" firstDataCol="1"/>
  <pivotFields count="12">
    <pivotField showAll="0"/>
    <pivotField numFmtId="14" showAll="0"/>
    <pivotField axis="axisRow" showAll="0">
      <items count="14">
        <item x="9"/>
        <item x="0"/>
        <item x="11"/>
        <item x="10"/>
        <item x="1"/>
        <item x="2"/>
        <item x="3"/>
        <item x="4"/>
        <item x="12"/>
        <item x="6"/>
        <item x="8"/>
        <item x="5"/>
        <item x="7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5">
        <item sd="0" x="1"/>
        <item sd="0" x="2"/>
        <item sd="0" x="3"/>
        <item sd="0" x="0"/>
        <item t="default"/>
      </items>
    </pivotField>
    <pivotField dataField="1" numFmtId="44" showAll="0"/>
    <pivotField dataField="1" numFmtId="44" showAll="0"/>
    <pivotField numFmtId="44" showAll="0"/>
  </pivotFields>
  <rowFields count="2">
    <field x="8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a Entrega" fld="9" baseField="8" baseItem="3" numFmtId="44"/>
    <dataField name="Soma de Total" fld="10" baseField="8" baseItem="3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D8294C-FA51-4E49-88FB-91C134E65F1C}" name="Tabela dinâmica5" cacheId="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27" firstHeaderRow="0" firstDataRow="1" firstDataCol="1"/>
  <pivotFields count="12">
    <pivotField showAll="0"/>
    <pivotField axis="axisRow" numFmtId="14" showAll="0">
      <items count="5">
        <item x="3"/>
        <item x="2"/>
        <item x="1"/>
        <item x="0"/>
        <item t="default"/>
      </items>
    </pivotField>
    <pivotField axis="axisRow" showAll="0">
      <items count="14">
        <item x="9"/>
        <item x="0"/>
        <item x="11"/>
        <item x="10"/>
        <item x="1"/>
        <item x="2"/>
        <item x="3"/>
        <item x="4"/>
        <item x="12"/>
        <item x="6"/>
        <item x="8"/>
        <item x="5"/>
        <item x="7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numFmtId="44" showAll="0"/>
  </pivotFields>
  <rowFields count="2">
    <field x="1"/>
    <field x="2"/>
  </rowFields>
  <rowItems count="24">
    <i>
      <x/>
    </i>
    <i r="1">
      <x/>
    </i>
    <i r="1">
      <x v="1"/>
    </i>
    <i r="1">
      <x v="2"/>
    </i>
    <i r="1">
      <x v="3"/>
    </i>
    <i r="1">
      <x v="8"/>
    </i>
    <i>
      <x v="1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>
      <x v="2"/>
    </i>
    <i r="1">
      <x v="6"/>
    </i>
    <i r="1">
      <x v="7"/>
    </i>
    <i r="1">
      <x v="11"/>
    </i>
    <i>
      <x v="3"/>
    </i>
    <i r="1">
      <x v="1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00E88A-0AB1-4069-A290-0BEB6886E2E8}" name="Tabela dinâmica5" cacheId="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13" firstHeaderRow="0" firstDataRow="1" firstDataCol="1"/>
  <pivotFields count="12">
    <pivotField showAll="0"/>
    <pivotField axis="axisRow" numFmtId="14" showAll="0">
      <items count="3">
        <item x="0"/>
        <item x="1"/>
        <item t="default"/>
      </items>
    </pivotField>
    <pivotField axis="axisRow" showAll="0">
      <items count="7">
        <item x="0"/>
        <item x="5"/>
        <item x="2"/>
        <item x="3"/>
        <item x="1"/>
        <item x="4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numFmtId="44" showAll="0"/>
  </pivotFields>
  <rowFields count="2">
    <field x="1"/>
    <field x="2"/>
  </rowFields>
  <rowItems count="10">
    <i>
      <x/>
    </i>
    <i r="1">
      <x/>
    </i>
    <i r="1">
      <x v="1"/>
    </i>
    <i r="1">
      <x v="2"/>
    </i>
    <i r="1">
      <x v="5"/>
    </i>
    <i>
      <x v="1"/>
    </i>
    <i r="1">
      <x v="2"/>
    </i>
    <i r="1">
      <x v="3"/>
    </i>
    <i r="1"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CAA24A-7D8E-4801-95C4-A1BA3435D927}" name="Tabela dinâmica6" cacheId="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8" firstHeaderRow="0" firstDataRow="1" firstDataCol="1"/>
  <pivotFields count="12">
    <pivotField showAll="0"/>
    <pivotField numFmtId="14" showAll="0"/>
    <pivotField axis="axisRow" showAll="0">
      <items count="7">
        <item x="0"/>
        <item x="5"/>
        <item x="2"/>
        <item x="3"/>
        <item x="1"/>
        <item x="4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5">
        <item sd="0" x="1"/>
        <item sd="0" x="0"/>
        <item sd="0" x="3"/>
        <item sd="0" x="2"/>
        <item t="default"/>
      </items>
    </pivotField>
    <pivotField dataField="1" numFmtId="44" showAll="0"/>
    <pivotField dataField="1" numFmtId="44" showAll="0"/>
    <pivotField numFmtId="44" showAll="0"/>
  </pivotFields>
  <rowFields count="2">
    <field x="8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a Entrega" fld="9" baseField="8" baseItem="3" numFmtId="44"/>
    <dataField name="Soma de Total" fld="10" baseField="8" baseItem="3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B17D7E-1FD6-488E-BF8E-F0264AACA9ED}" name="Tabela dinâmica6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7" firstHeaderRow="0" firstDataRow="1" firstDataCol="1"/>
  <pivotFields count="12">
    <pivotField showAll="0"/>
    <pivotField numFmtId="14" showAll="0"/>
    <pivotField axis="axisRow" showAll="0">
      <items count="5">
        <item x="0"/>
        <item x="1"/>
        <item x="3"/>
        <item x="2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4">
        <item sd="0" x="0"/>
        <item sd="0" x="1"/>
        <item sd="0" x="2"/>
        <item t="default"/>
      </items>
    </pivotField>
    <pivotField dataField="1" numFmtId="44" showAll="0"/>
    <pivotField dataField="1" numFmtId="44" showAll="0"/>
    <pivotField numFmtId="44" showAll="0"/>
  </pivotFields>
  <rowFields count="2">
    <field x="8"/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a Entrega" fld="9" baseField="8" baseItem="3" numFmtId="44"/>
    <dataField name="Soma de Total" fld="10" baseField="8" baseItem="3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5BFAD1-BA1E-4EB3-BE03-246CE4B0494B}" name="Tabela dinâmica5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12" firstHeaderRow="0" firstDataRow="1" firstDataCol="1"/>
  <pivotFields count="12">
    <pivotField showAll="0"/>
    <pivotField axis="axisRow" numFmtId="14" showAll="0">
      <items count="4">
        <item x="0"/>
        <item x="1"/>
        <item x="2"/>
        <item t="default"/>
      </items>
    </pivotField>
    <pivotField axis="axisRow" showAll="0">
      <items count="5">
        <item x="1"/>
        <item x="3"/>
        <item x="0"/>
        <item x="2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numFmtId="44" showAll="0"/>
  </pivotFields>
  <rowFields count="2">
    <field x="1"/>
    <field x="2"/>
  </rowFields>
  <rowItems count="9">
    <i>
      <x/>
    </i>
    <i r="1">
      <x v="2"/>
    </i>
    <i>
      <x v="1"/>
    </i>
    <i r="1">
      <x/>
    </i>
    <i r="1">
      <x v="3"/>
    </i>
    <i>
      <x v="2"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18EFA2-FB1E-497A-A801-46DD64BE4B7D}" name="Tabela dinâmica5" cacheId="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6" firstHeaderRow="0" firstDataRow="1" firstDataCol="1"/>
  <pivotFields count="12">
    <pivotField showAll="0"/>
    <pivotField axis="axisRow" numFmtId="14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numFmtId="44" showAll="0"/>
  </pivotFields>
  <rowFields count="2">
    <field x="1"/>
    <field x="2"/>
  </rowFields>
  <rowItems count="3">
    <i>
      <x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E4A0ED-9EB1-44F4-83D1-3CF1EA92658C}" name="Tabela dinâmica6" cacheId="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5" firstHeaderRow="0" firstDataRow="1" firstDataCol="1"/>
  <pivotFields count="12">
    <pivotField showAll="0"/>
    <pivotField numFmtId="14" showAll="0"/>
    <pivotField axis="axisRow" showAll="0">
      <items count="2">
        <item x="0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2">
        <item sd="0" x="0"/>
        <item t="default"/>
      </items>
    </pivotField>
    <pivotField dataField="1" numFmtId="44" showAll="0"/>
    <pivotField dataField="1" numFmtId="44" showAll="0"/>
    <pivotField numFmtId="44" showAll="0"/>
  </pivotFields>
  <rowFields count="2">
    <field x="8"/>
    <field x="2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a Entrega" fld="9" baseField="8" baseItem="3" numFmtId="44"/>
    <dataField name="Soma de Total" fld="10" baseField="8" baseItem="3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2D05EA-257A-4F7E-A2B3-FB4F803A71AD}" name="Tabela dinâmica6" cacheId="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10" firstHeaderRow="0" firstDataRow="1" firstDataCol="1"/>
  <pivotFields count="12">
    <pivotField showAll="0"/>
    <pivotField numFmtId="14" showAll="0"/>
    <pivotField axis="axisRow" showAll="0">
      <items count="4">
        <item x="0"/>
        <item x="1"/>
        <item x="2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4">
        <item x="0"/>
        <item x="1"/>
        <item x="2"/>
        <item t="default"/>
      </items>
    </pivotField>
    <pivotField dataField="1" numFmtId="44" showAll="0"/>
    <pivotField dataField="1" numFmtId="44" showAll="0"/>
    <pivotField numFmtId="44" showAll="0"/>
  </pivotFields>
  <rowFields count="2">
    <field x="8"/>
    <field x="2"/>
  </rowFields>
  <rowItems count="7">
    <i>
      <x/>
    </i>
    <i r="1">
      <x/>
    </i>
    <i>
      <x v="1"/>
    </i>
    <i r="1">
      <x v="1"/>
    </i>
    <i>
      <x v="2"/>
    </i>
    <i r="1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a Entrega" fld="9" baseField="8" baseItem="3" numFmtId="44"/>
    <dataField name="Soma de Total" fld="10" baseField="8" baseItem="3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B5BC32-8D7A-4707-8B7C-AF26A3A7E88A}" name="Tabela dinâmica5" cacheId="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9" firstHeaderRow="0" firstDataRow="1" firstDataCol="1"/>
  <pivotFields count="12">
    <pivotField showAll="0"/>
    <pivotField axis="axisRow" numFmtId="14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numFmtId="44" showAll="0"/>
  </pivotFields>
  <rowFields count="2">
    <field x="1"/>
    <field x="2"/>
  </rowFields>
  <rowItems count="6">
    <i>
      <x/>
    </i>
    <i r="1">
      <x/>
    </i>
    <i r="1">
      <x v="1"/>
    </i>
    <i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EBE0F8-8FA0-4331-901E-A6E4A796A353}" name="Tabela2" displayName="Tabela2" ref="B4:G29" totalsRowShown="0" headerRowDxfId="59">
  <autoFilter ref="B4:G29" xr:uid="{16EBE0F8-8FA0-4331-901E-A6E4A796A353}"/>
  <tableColumns count="6">
    <tableColumn id="1" xr3:uid="{94E81E4B-8346-49BD-BE7E-AAE2A40915DA}" name="Despesas de Funcionament0"/>
    <tableColumn id="2" xr3:uid="{FED0AC54-6A8A-4C1C-B52A-2820B59304B7}" name="Itens Despesas"/>
    <tableColumn id="3" xr3:uid="{2E6E1BA2-A7B4-4789-8BCF-EC70A956B46F}" name="Data"/>
    <tableColumn id="4" xr3:uid="{D2E35740-50C8-4958-829F-121B4A5E718A}" name="Observação"/>
    <tableColumn id="5" xr3:uid="{1EFA0D28-7D6A-412B-A89E-79D99AFA6CAF}" name="Valor Intermediário" dataCellStyle="Moeda"/>
    <tableColumn id="6" xr3:uid="{4B29FF77-083F-4C5E-8AAC-2976B22C7B6A}" name="Valor Final" dataCellStyle="Moeda"/>
  </tableColumns>
  <tableStyleInfo name="TableStyleMedium3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2C6DBE0-4E40-4862-A5A0-4C10A9A784EE}" name="Tabela8" displayName="Tabela8" ref="B4:I26" totalsRowShown="0">
  <autoFilter ref="B4:I26" xr:uid="{82C6DBE0-4E40-4862-A5A0-4C10A9A784EE}"/>
  <sortState xmlns:xlrd2="http://schemas.microsoft.com/office/spreadsheetml/2017/richdata2" ref="B5:I26">
    <sortCondition descending="1" ref="B4:B26"/>
  </sortState>
  <tableColumns count="8">
    <tableColumn id="1" xr3:uid="{7834D4A1-DDED-4817-8C90-7451A9600BAC}" name="Data" dataDxfId="58"/>
    <tableColumn id="2" xr3:uid="{8921E85B-211F-4341-B704-6F6C9DC571AB}" name="Fornecedor"/>
    <tableColumn id="3" xr3:uid="{884BE9D4-181E-49A9-903C-D64E398EDA58}" name="Mercadoria"/>
    <tableColumn id="4" xr3:uid="{9CC490EF-0DE4-4A15-A0D3-FA28430CB337}" name="Medida" dataDxfId="56">
      <calculatedColumnFormula>IFERROR(VLOOKUP(Tabela8[[#This Row],[Mercadoria]],Calculos!J$5:M$32,4,FALSE),"")</calculatedColumnFormula>
    </tableColumn>
    <tableColumn id="5" xr3:uid="{85566B5D-DC54-4C73-895F-47941EBF5886}" name="Quantidade"/>
    <tableColumn id="6" xr3:uid="{79D86845-817E-4BA4-9DD0-9B8504E363CE}" name="Preço Unitário" dataDxfId="35" dataCellStyle="Moeda">
      <calculatedColumnFormula>IFERROR(VLOOKUP(Tabela8[[#This Row],[Mercadoria]],Calculos!J$5:M$32,2,FALSE),0)</calculatedColumnFormula>
    </tableColumn>
    <tableColumn id="7" xr3:uid="{D63A6307-E2C3-4FEA-BD52-E81F57BFB888}" name="Desconto" dataCellStyle="Porcentagem"/>
    <tableColumn id="8" xr3:uid="{D40174B1-C2FF-4A0C-A019-555130CD6304}" name="Valor Pago" dataDxfId="57" dataCellStyle="Moeda">
      <calculatedColumnFormula>Tabela8[[#This Row],[Quantidade]]*Tabela8[[#This Row],[Preço Unitário]]*(1-Tabela8[[#This Row],[Desconto]])</calculatedColumnFormula>
    </tableColumn>
  </tableColumns>
  <tableStyleInfo name="TableStyleMedium6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0670026-F7F9-4276-A0DB-1E82EA38EA2E}" name="Tabela10" displayName="Tabela10" ref="B4:E9" totalsRowShown="0">
  <autoFilter ref="B4:E9" xr:uid="{B0670026-F7F9-4276-A0DB-1E82EA38EA2E}"/>
  <tableColumns count="4">
    <tableColumn id="1" xr3:uid="{B960C043-A122-4534-926A-119B29C31434}" name="Investimento" dataDxfId="55"/>
    <tableColumn id="2" xr3:uid="{0B8AE323-26C2-42BF-81DD-90C7AF396342}" name="Data" dataDxfId="54"/>
    <tableColumn id="3" xr3:uid="{552A8514-50FB-47B8-9743-00EF067405CD}" name="Descrição" dataDxfId="53"/>
    <tableColumn id="4" xr3:uid="{22430939-BBFD-4883-86B0-A0D3D0643B55}" name="Valor" dataDxfId="52" dataCellStyle="Moeda"/>
  </tableColumns>
  <tableStyleInfo name="TableStyleMedium4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38BC31F-E501-4CFE-BF31-A0FA63B6638D}" name="Tabela13" displayName="Tabela13" ref="B4:H28" totalsRowShown="0">
  <autoFilter ref="B4:H28" xr:uid="{138BC31F-E501-4CFE-BF31-A0FA63B6638D}"/>
  <tableColumns count="7">
    <tableColumn id="1" xr3:uid="{A1D18FD2-8F71-48EE-BF49-BDE3C6F3C84E}" name="Produto"/>
    <tableColumn id="2" xr3:uid="{C811DCBD-BF4A-471B-9065-A6A931733A01}" name="Data da Última Compra" dataDxfId="48">
      <calculatedColumnFormula>IFERROR(INDEX(Tabela8[],MATCH(Tabela13[[#This Row],[Produto]],Tabela8[Mercadoria],0),1),"")</calculatedColumnFormula>
    </tableColumn>
    <tableColumn id="3" xr3:uid="{C58BB10F-1ED5-4D25-BE1A-6DF4F4760A4C}" name="Quantidade Inicial"/>
    <tableColumn id="4" xr3:uid="{524778D0-8662-4C27-83D6-AB0B501ACDDC}" name="Quantidade Comprada" dataDxfId="51">
      <calculatedColumnFormula>SUMIF(Tabela8[Mercadoria],Tabela13[[#This Row],[Produto]],Tabela8[Quantidade])</calculatedColumnFormula>
    </tableColumn>
    <tableColumn id="5" xr3:uid="{506D15B9-2F6F-413F-A079-62DD40559D98}" name="Quantidade Vendida" dataDxfId="6">
      <calculatedColumnFormula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calculatedColumnFormula>
    </tableColumn>
    <tableColumn id="6" xr3:uid="{687F2C71-F613-4FC6-9DD8-95EBF38440B8}" name="Quantidade Atual" dataDxfId="50">
      <calculatedColumnFormula>Tabela13[[#This Row],[Quantidade Comprada]]+Tabela13[[#This Row],[Quantidade Inicial]]-Tabela13[[#This Row],[Quantidade Vendida]]</calculatedColumnFormula>
    </tableColumn>
    <tableColumn id="7" xr3:uid="{21A5B30B-ED42-4B3E-A3E3-24DF457D16D8}" name="Situação" dataDxfId="49">
      <calculatedColumnFormula>IF(Tabela13[[#This Row],[Quantidade Atual]]&lt;50,IF(Tabela13[[#This Row],[Quantidade Atual]]&lt;21,"COMPRAR","ATENÇÃO"),"OK")</calculatedColumnFormula>
    </tableColumn>
  </tableColumns>
  <tableStyleInfo name="TableStyleMedium5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DF7AB4D-B776-475B-BA65-E55F51E37589}" name="Tabela15" displayName="Tabela15" ref="B4:M29" totalsRowShown="0" headerRowDxfId="32">
  <autoFilter ref="B4:M29" xr:uid="{BDF7AB4D-B776-475B-BA65-E55F51E37589}"/>
  <tableColumns count="12">
    <tableColumn id="1" xr3:uid="{CCE1F410-4505-4988-9278-F0FD31D94D79}" name="Id da Venda"/>
    <tableColumn id="2" xr3:uid="{B47FA153-C031-41F9-BDE6-F39D0BDDBD78}" name="Data" dataDxfId="31"/>
    <tableColumn id="3" xr3:uid="{6E9D5B2A-34F7-4493-B9FB-D5C73766D07B}" name="Produto"/>
    <tableColumn id="4" xr3:uid="{88FACE32-633E-4991-883B-2F0F5F1E0BA0}" name="Medida" dataDxfId="30">
      <calculatedColumnFormula>IFERROR(VLOOKUP(Tabela15[[#This Row],[Produto]],Calculos!$J$5:$M$33,4,FALSE),"")</calculatedColumnFormula>
    </tableColumn>
    <tableColumn id="5" xr3:uid="{4FEEA7E3-BCD7-41F1-A28F-1E71B2037312}" name="Quantidade"/>
    <tableColumn id="6" xr3:uid="{0A519E31-863E-4C28-855A-5A8A1B47AADA}" name="Preço Unitário" dataDxfId="29" dataCellStyle="Moeda">
      <calculatedColumnFormula>IFERROR(VLOOKUP(Tabela15[[#This Row],[Produto]],Calculos!$J$5:$M$33,3,FALSE),0)</calculatedColumnFormula>
    </tableColumn>
    <tableColumn id="7" xr3:uid="{F39723FD-FA0C-45C2-BF16-5564E009E821}" name="SubTotal" dataDxfId="28" dataCellStyle="Moeda">
      <calculatedColumnFormula>IFERROR(Tabela15[[#This Row],[Quantidade]]*Tabela15[[#This Row],[Preço Unitário]],"")</calculatedColumnFormula>
    </tableColumn>
    <tableColumn id="8" xr3:uid="{D93A6521-F16A-4612-8288-5C1AAC8014CB}" name="Desconto" dataCellStyle="Porcentagem"/>
    <tableColumn id="9" xr3:uid="{243009EC-FC33-4271-AC8A-6769D2D40D7B}" name="Entrega"/>
    <tableColumn id="10" xr3:uid="{24D90847-BB09-49DB-AC5A-ECCC359B00A2}" name="Valor da Entrega" dataDxfId="25" dataCellStyle="Moeda">
      <calculatedColumnFormula>IFERROR(IF(Tabela15[[#This Row],[Id da Venda]]=B6,0,VLOOKUP(Tabela15[[#This Row],[Entrega]],Calculos!$B$5:$C$9,2,0)),0)</calculatedColumnFormula>
    </tableColumn>
    <tableColumn id="11" xr3:uid="{FBEEA6A5-487A-45F6-AA57-DBB5D4E5F96D}" name="Total" dataDxfId="27" dataCellStyle="Moeda">
      <calculatedColumnFormula>Tabela15[[#This Row],[SubTotal]]*(1-Tabela15[[#This Row],[Desconto]])+Tabela15[[#This Row],[Valor da Entrega]]</calculatedColumnFormula>
    </tableColumn>
    <tableColumn id="12" xr3:uid="{880A2059-5646-4621-A269-774F3DEBA3E2}" name="Total para Cliente" dataDxfId="26" dataCellStyle="Moeda">
      <calculatedColumnFormula>IF(Tabela15[[#This Row],[Id da Venda]]=B6,0,SUMIF(Tabela15[Id da Venda],Tabela15[[#This Row],[Id da Venda]],Tabela15[Total]))</calculatedColumnFormula>
    </tableColumn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E4F5085-8A8E-4844-9E84-9A080F4DEBA0}" name="Tabela1517" displayName="Tabela1517" ref="B4:M11" totalsRowShown="0" headerRowDxfId="34">
  <autoFilter ref="B4:M11" xr:uid="{3E4F5085-8A8E-4844-9E84-9A080F4DEBA0}"/>
  <tableColumns count="12">
    <tableColumn id="1" xr3:uid="{5D0950BA-828E-4F24-9840-C500BFF428B4}" name="Id da Venda"/>
    <tableColumn id="2" xr3:uid="{EEA7EAAE-57C0-484C-9A74-C307A905F1F1}" name="Data" dataDxfId="24">
      <calculatedColumnFormula>TODAY()</calculatedColumnFormula>
    </tableColumn>
    <tableColumn id="3" xr3:uid="{9137F000-E9F5-4615-B3B6-4A22EA33C19B}" name="Produto"/>
    <tableColumn id="4" xr3:uid="{42F06190-3D7D-49B5-9175-FFDCCC40DB71}" name="Medida" dataDxfId="47">
      <calculatedColumnFormula>IFERROR(VLOOKUP(Tabela1517[[#This Row],[Produto]],Calculos!$J$5:$M$33,4,FALSE),"")</calculatedColumnFormula>
    </tableColumn>
    <tableColumn id="5" xr3:uid="{7F444FD7-F8D2-4D7B-AA2C-C6C6323D0B7A}" name="Quantidade"/>
    <tableColumn id="6" xr3:uid="{67948322-B9B8-41F3-AFE4-CF9E2FC5B327}" name="Preço Unitário" dataDxfId="46" dataCellStyle="Moeda">
      <calculatedColumnFormula>IFERROR(VLOOKUP(Tabela1517[[#This Row],[Produto]],Calculos!$J$5:$M$33,3,FALSE),0)</calculatedColumnFormula>
    </tableColumn>
    <tableColumn id="7" xr3:uid="{E72355A4-7EAB-4BA5-9876-19A52C1E9284}" name="SubTotal" dataDxfId="45" dataCellStyle="Moeda">
      <calculatedColumnFormula>IFERROR(Tabela1517[[#This Row],[Quantidade]]*Tabela1517[[#This Row],[Preço Unitário]],"")</calculatedColumnFormula>
    </tableColumn>
    <tableColumn id="8" xr3:uid="{7E253F69-C800-47D8-AB1E-E27A0A5270B3}" name="Desconto" dataCellStyle="Porcentagem"/>
    <tableColumn id="9" xr3:uid="{10591B55-1433-4D8E-BC60-165DE8A316B5}" name="Entrega"/>
    <tableColumn id="10" xr3:uid="{EAEECBEE-0D85-4873-8813-3B7C8B5991DC}" name="Valor da Entrega" dataDxfId="33" dataCellStyle="Moeda">
      <calculatedColumnFormula>IFERROR(IF(Tabela1517[[#This Row],[Id da Venda]]=B6,0,VLOOKUP(Tabela1517[[#This Row],[Entrega]],Calculos!$B$5:$C$9,2,0)),0)</calculatedColumnFormula>
    </tableColumn>
    <tableColumn id="11" xr3:uid="{A2433764-81DC-449E-B383-57BD75B882F1}" name="Total" dataDxfId="44" dataCellStyle="Moeda">
      <calculatedColumnFormula>Tabela1517[[#This Row],[SubTotal]]*(1-Tabela1517[[#This Row],[Desconto]])+Tabela1517[[#This Row],[Valor da Entrega]]</calculatedColumnFormula>
    </tableColumn>
    <tableColumn id="12" xr3:uid="{AD4022D9-E609-467F-8F2D-9DDFF945B464}" name="Total para Cliente" dataDxfId="43" dataCellStyle="Moeda">
      <calculatedColumnFormula>IF(Tabela1517[[#This Row],[Id da Venda]]=B6,"",SUMIF(Tabela1517[Id da Venda],Tabela1517[[#This Row],[Id da Venda]],Tabela1517[Total]))</calculatedColumnFormula>
    </tableColumn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356D3F0-B743-42B1-A2A9-3638069CA1CA}" name="Tabela1518" displayName="Tabela1518" ref="B4:M9" totalsRowShown="0" headerRowDxfId="23">
  <autoFilter ref="B4:M9" xr:uid="{C356D3F0-B743-42B1-A2A9-3638069CA1CA}"/>
  <tableColumns count="12">
    <tableColumn id="1" xr3:uid="{4F8B2A3F-0E0E-4E37-A4F0-3288AA7CB8AC}" name="Id da Venda" dataDxfId="22"/>
    <tableColumn id="2" xr3:uid="{B6354286-5163-48D4-AE63-B0CD2BA11A3D}" name="Data" dataDxfId="21"/>
    <tableColumn id="3" xr3:uid="{0D370F46-A99F-49BA-A92F-ED0B07AD4990}" name="Produto"/>
    <tableColumn id="4" xr3:uid="{29BFC401-0F83-4EE8-AEEB-515AAFAD958E}" name="Medida" dataDxfId="20">
      <calculatedColumnFormula>IFERROR(VLOOKUP(Tabela1518[[#This Row],[Produto]],Calculos!$J$5:$M$33,4,FALSE),"")</calculatedColumnFormula>
    </tableColumn>
    <tableColumn id="5" xr3:uid="{EFEC34D6-EBE7-444E-8BAF-2638F7B55875}" name="Quantidade"/>
    <tableColumn id="6" xr3:uid="{398C8412-4274-46C8-A3A9-F86224CF0F7A}" name="Preço Unitário" dataDxfId="12" dataCellStyle="Moeda">
      <calculatedColumnFormula>IFERROR(VLOOKUP(Tabela1518[[#This Row],[Produto]],Calculos!$J$5:$M$33,3,FALSE),0)</calculatedColumnFormula>
    </tableColumn>
    <tableColumn id="7" xr3:uid="{E77EB8EA-17B2-4C98-BAA8-C429E57661D3}" name="SubTotal" dataDxfId="13" dataCellStyle="Moeda">
      <calculatedColumnFormula>IFERROR(Tabela1518[[#This Row],[Quantidade]]*Tabela1518[[#This Row],[Preço Unitário]],"")</calculatedColumnFormula>
    </tableColumn>
    <tableColumn id="8" xr3:uid="{65ECB6A6-A328-451F-91F9-BAEFA4AA71A8}" name="Desconto" dataCellStyle="Porcentagem"/>
    <tableColumn id="9" xr3:uid="{D1A69D89-5F10-409E-9308-693C85F40D7A}" name="Entrega"/>
    <tableColumn id="10" xr3:uid="{7A09B088-2741-4AB6-AE4E-BB3DC45CEF66}" name="Valor da Entrega" dataDxfId="19" dataCellStyle="Moeda">
      <calculatedColumnFormula>IFERROR(IF(Tabela1518[[#This Row],[Id da Venda]]=B8,0,VLOOKUP(Tabela1518[[#This Row],[Entrega]],Calculos!$B$5:$C$9,2,0)),0)</calculatedColumnFormula>
    </tableColumn>
    <tableColumn id="11" xr3:uid="{23AF9C82-BFFC-4728-A38D-65E202495928}" name="Total" dataDxfId="11" dataCellStyle="Moeda">
      <calculatedColumnFormula>Tabela1518[[#This Row],[SubTotal]]*(1-Tabela1518[[#This Row],[Desconto]])+Tabela1518[[#This Row],[Valor da Entrega]]</calculatedColumnFormula>
    </tableColumn>
    <tableColumn id="12" xr3:uid="{A0956EA3-F66A-4DBF-AFC9-660CFD931F61}" name="Total para Cliente" dataDxfId="14" dataCellStyle="Moeda">
      <calculatedColumnFormula>IF(Tabela1518[[#This Row],[Id da Venda]]=B6,0,SUMIF(Tabela1518[Id da Venda],Tabela1518[[#This Row],[Id da Venda]],Tabela1518[Total]))</calculatedColumnFormula>
    </tableColumn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CDE10AF-A1CA-4759-90FD-16A8BE38A187}" name="Tabela1519" displayName="Tabela1519" ref="B4:M5" totalsRowShown="0" headerRowDxfId="42">
  <autoFilter ref="B4:M5" xr:uid="{5CDE10AF-A1CA-4759-90FD-16A8BE38A187}"/>
  <tableColumns count="12">
    <tableColumn id="1" xr3:uid="{F75551C8-D5D8-4584-B31F-010E4D55D4A6}" name="Id da Venda"/>
    <tableColumn id="2" xr3:uid="{A01EEBD4-9726-4605-8D77-EB015541D5E3}" name="Data">
      <calculatedColumnFormula>TODAY()</calculatedColumnFormula>
    </tableColumn>
    <tableColumn id="3" xr3:uid="{174EEADB-0F6D-4D05-B3E0-3B74F8D4C8C3}" name="Produto"/>
    <tableColumn id="4" xr3:uid="{24F3D7AC-B6A7-4DCC-813B-96395B20B3B9}" name="Medida" dataDxfId="16">
      <calculatedColumnFormula>IFERROR(VLOOKUP(Tabela1519[[#This Row],[Produto]],Calculos!$J$5:$M$33,4,FALSE),"")</calculatedColumnFormula>
    </tableColumn>
    <tableColumn id="5" xr3:uid="{B4233B0C-939A-4658-9862-D58365458BE4}" name="Quantidade"/>
    <tableColumn id="6" xr3:uid="{AE48C52A-E88C-4CF5-9868-D24FC207DE2B}" name="Preço Unitário" dataDxfId="17" dataCellStyle="Moeda">
      <calculatedColumnFormula>IFERROR(VLOOKUP(Tabela1519[[#This Row],[Produto]],Calculos!$J$5:$M$33,3,FALSE),0)</calculatedColumnFormula>
    </tableColumn>
    <tableColumn id="7" xr3:uid="{02914739-CA7C-4599-919D-A61EDAE51610}" name="SubTotal" dataDxfId="9" dataCellStyle="Moeda">
      <calculatedColumnFormula>IFERROR(Tabela1519[[#This Row],[Quantidade]]*Tabela1519[[#This Row],[Preço Unitário]],"")</calculatedColumnFormula>
    </tableColumn>
    <tableColumn id="8" xr3:uid="{2FBD5400-3F40-47EC-99D1-4462B2B9C754}" name="Desconto" dataCellStyle="Porcentagem"/>
    <tableColumn id="9" xr3:uid="{F3FC5684-BE8B-4E6E-98B2-D02CCEA2E8C3}" name="Entrega"/>
    <tableColumn id="10" xr3:uid="{E52D1B57-B383-4336-9A49-B00AE8B1DF64}" name="Valor da Entrega" dataDxfId="18" dataCellStyle="Moeda">
      <calculatedColumnFormula>IFERROR(IF(Tabela1519[[#This Row],[Id da Venda]]=B8,0,VLOOKUP(Tabela1519[[#This Row],[Entrega]],Calculos!$B$5:$C$9,2,0)),0)</calculatedColumnFormula>
    </tableColumn>
    <tableColumn id="11" xr3:uid="{B8216C64-ABDE-4CF0-BF80-87A689124716}" name="Total" dataDxfId="15" dataCellStyle="Moeda">
      <calculatedColumnFormula>Tabela1519[[#This Row],[SubTotal]]*(1-Tabela1519[[#This Row],[Desconto]])+Tabela1519[[#This Row],[Valor da Entrega]]</calculatedColumnFormula>
    </tableColumn>
    <tableColumn id="12" xr3:uid="{4E63BDFF-C0FD-40C2-B024-C87AB7543B88}" name="Total para Cliente" dataDxfId="10" dataCellStyle="Moeda">
      <calculatedColumnFormula>IF(Tabela1518[[#This Row],[Id da Venda]]=B6,0,SUMIF(Tabela1519[Id da Venda],Tabela1519[[#This Row],[Id da Venda]],Tabela1519[Total]))</calculatedColumnFormula>
    </tableColumn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65F2625-4752-45A6-981C-60DE483B80B0}" name="Tabela1520" displayName="Tabela1520" ref="B4:M7" totalsRowShown="0" headerRowDxfId="8">
  <autoFilter ref="B4:M7" xr:uid="{865F2625-4752-45A6-981C-60DE483B80B0}"/>
  <tableColumns count="12">
    <tableColumn id="1" xr3:uid="{67CD3F86-2A85-4D8D-B966-CB7718AFB5A4}" name="Id da Venda"/>
    <tableColumn id="2" xr3:uid="{933C3074-B770-4294-972C-234264CB6EE5}" name="Data" dataDxfId="36"/>
    <tableColumn id="3" xr3:uid="{A1DED136-9C50-4FDA-A989-C9FAA1A1D42D}" name="Produto"/>
    <tableColumn id="4" xr3:uid="{F8446AF7-CE4A-4D45-BA85-21C6BFF8C327}" name="Medida" dataDxfId="41">
      <calculatedColumnFormula>IFERROR(VLOOKUP(Tabela1520[[#This Row],[Produto]],Calculos!$J$5:$M$33,4,FALSE),"")</calculatedColumnFormula>
    </tableColumn>
    <tableColumn id="5" xr3:uid="{B394F49D-EBF4-440C-B9CC-745806CCCB04}" name="Quantidade"/>
    <tableColumn id="6" xr3:uid="{F84A0022-21FE-47A7-B69A-64A233CF233F}" name="Preço Unitário" dataDxfId="40" dataCellStyle="Moeda">
      <calculatedColumnFormula>IFERROR(VLOOKUP(Tabela1520[[#This Row],[Produto]],Calculos!$J$5:$M$33,3,FALSE),0)</calculatedColumnFormula>
    </tableColumn>
    <tableColumn id="7" xr3:uid="{99DB221D-3FCD-4DF0-A85C-0FD4292F748F}" name="SubTotal" dataDxfId="39" dataCellStyle="Moeda">
      <calculatedColumnFormula>IFERROR(Tabela1520[[#This Row],[Quantidade]]*Tabela1520[[#This Row],[Preço Unitário]],"")</calculatedColumnFormula>
    </tableColumn>
    <tableColumn id="8" xr3:uid="{17456604-9960-4F37-8F1A-8552B82FC76D}" name="Desconto" dataCellStyle="Porcentagem"/>
    <tableColumn id="9" xr3:uid="{556487EE-2CAC-4F03-B793-0E71785B4E6D}" name="Entrega"/>
    <tableColumn id="10" xr3:uid="{FA3D973A-8369-4FE8-95AD-BFB1781DBA57}" name="Valor da Entrega" dataDxfId="7" dataCellStyle="Moeda">
      <calculatedColumnFormula>IFERROR(IF(Tabela1520[[#This Row],[Id da Venda]]=B6,0,VLOOKUP(Tabela1520[[#This Row],[Entrega]],Calculos!$B$5:$C$9,2,0)),0)</calculatedColumnFormula>
    </tableColumn>
    <tableColumn id="11" xr3:uid="{C1B2A41E-CFA3-4F0B-8EC0-1CEFE5F7E572}" name="Total" dataDxfId="38" dataCellStyle="Moeda">
      <calculatedColumnFormula>Tabela1520[[#This Row],[SubTotal]]*(1-Tabela1520[[#This Row],[Desconto]])+Tabela1520[[#This Row],[Valor da Entrega]]</calculatedColumnFormula>
    </tableColumn>
    <tableColumn id="12" xr3:uid="{267F1975-6B94-4D10-A989-B5EC4D4DA071}" name="Total para Cliente" dataDxfId="37" dataCellStyle="Moeda">
      <calculatedColumnFormula>IF(Tabela1520[[#This Row],[Id da Venda]]=B6,0,SUMIF(Tabela1520[Id da Venda],Tabela1520[[#This Row],[Id da Venda]],Tabela1520[Total]))</calculatedColumnFormula>
    </tableColumn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"/>
  <sheetViews>
    <sheetView showGridLines="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2:U33"/>
  <sheetViews>
    <sheetView showGridLines="0" topLeftCell="A14" workbookViewId="0"/>
  </sheetViews>
  <sheetFormatPr defaultRowHeight="15" x14ac:dyDescent="0.25"/>
  <cols>
    <col min="2" max="2" width="51.42578125" bestFit="1" customWidth="1"/>
    <col min="3" max="3" width="26.5703125" bestFit="1" customWidth="1"/>
    <col min="5" max="5" width="26.140625" bestFit="1" customWidth="1"/>
    <col min="6" max="6" width="21" bestFit="1" customWidth="1"/>
    <col min="7" max="7" width="19.85546875" bestFit="1" customWidth="1"/>
  </cols>
  <sheetData>
    <row r="2" spans="1:21" s="4" customFormat="1" ht="27.95" customHeight="1" x14ac:dyDescent="0.25">
      <c r="A2" s="2"/>
      <c r="B2" s="5" t="s">
        <v>40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1" ht="31.5" customHeight="1" x14ac:dyDescent="0.25"/>
    <row r="4" spans="1:21" x14ac:dyDescent="0.25">
      <c r="B4" s="1" t="s">
        <v>41</v>
      </c>
      <c r="C4" s="1" t="s">
        <v>42</v>
      </c>
      <c r="D4" s="1" t="s">
        <v>43</v>
      </c>
      <c r="E4" s="1" t="s">
        <v>44</v>
      </c>
      <c r="F4" s="1" t="s">
        <v>45</v>
      </c>
      <c r="G4" s="1" t="s">
        <v>46</v>
      </c>
    </row>
    <row r="5" spans="1:21" x14ac:dyDescent="0.25">
      <c r="B5" t="s">
        <v>4</v>
      </c>
      <c r="C5" s="6"/>
      <c r="D5" s="6"/>
      <c r="E5" s="6"/>
      <c r="F5" s="7"/>
      <c r="G5" s="7">
        <v>1000</v>
      </c>
    </row>
    <row r="6" spans="1:21" x14ac:dyDescent="0.25">
      <c r="B6" t="s">
        <v>47</v>
      </c>
      <c r="F6" s="8"/>
      <c r="G6" s="8">
        <v>17500</v>
      </c>
    </row>
    <row r="7" spans="1:21" x14ac:dyDescent="0.25">
      <c r="C7" t="s">
        <v>10</v>
      </c>
      <c r="F7" s="8">
        <v>10000</v>
      </c>
      <c r="G7" s="8"/>
    </row>
    <row r="8" spans="1:21" x14ac:dyDescent="0.25">
      <c r="C8" t="s">
        <v>11</v>
      </c>
      <c r="F8" s="8">
        <v>500</v>
      </c>
      <c r="G8" s="8"/>
    </row>
    <row r="9" spans="1:21" x14ac:dyDescent="0.25">
      <c r="C9" t="s">
        <v>2</v>
      </c>
      <c r="F9" s="8">
        <v>3000</v>
      </c>
      <c r="G9" s="8"/>
    </row>
    <row r="10" spans="1:21" x14ac:dyDescent="0.25">
      <c r="C10" t="s">
        <v>12</v>
      </c>
      <c r="F10" s="8">
        <v>2500</v>
      </c>
      <c r="G10" s="8"/>
    </row>
    <row r="11" spans="1:21" x14ac:dyDescent="0.25">
      <c r="C11" t="s">
        <v>6</v>
      </c>
      <c r="E11" t="s">
        <v>48</v>
      </c>
      <c r="F11" s="8">
        <v>1500</v>
      </c>
      <c r="G11" s="8"/>
    </row>
    <row r="12" spans="1:21" x14ac:dyDescent="0.25">
      <c r="B12" t="s">
        <v>1</v>
      </c>
      <c r="F12" s="8"/>
      <c r="G12" s="8">
        <v>900</v>
      </c>
    </row>
    <row r="13" spans="1:21" x14ac:dyDescent="0.25">
      <c r="B13" t="s">
        <v>2</v>
      </c>
      <c r="F13" s="8"/>
      <c r="G13" s="8">
        <v>6000</v>
      </c>
    </row>
    <row r="14" spans="1:21" x14ac:dyDescent="0.25">
      <c r="B14" t="s">
        <v>53</v>
      </c>
      <c r="F14" s="8"/>
      <c r="G14" s="8">
        <f>SUM(F15:F19)</f>
        <v>5300</v>
      </c>
    </row>
    <row r="15" spans="1:21" x14ac:dyDescent="0.25">
      <c r="C15" t="s">
        <v>49</v>
      </c>
      <c r="F15" s="8">
        <v>800</v>
      </c>
      <c r="G15" s="8"/>
    </row>
    <row r="16" spans="1:21" x14ac:dyDescent="0.25">
      <c r="C16" t="s">
        <v>50</v>
      </c>
      <c r="F16" s="8">
        <v>3200</v>
      </c>
      <c r="G16" s="8"/>
    </row>
    <row r="17" spans="2:7" x14ac:dyDescent="0.25">
      <c r="C17" t="s">
        <v>51</v>
      </c>
      <c r="F17" s="8">
        <v>500</v>
      </c>
      <c r="G17" s="8"/>
    </row>
    <row r="18" spans="2:7" x14ac:dyDescent="0.25">
      <c r="C18" t="s">
        <v>52</v>
      </c>
      <c r="F18" s="8">
        <v>800</v>
      </c>
      <c r="G18" s="8"/>
    </row>
    <row r="19" spans="2:7" x14ac:dyDescent="0.25">
      <c r="C19" t="s">
        <v>6</v>
      </c>
      <c r="F19" s="8"/>
      <c r="G19" s="8"/>
    </row>
    <row r="20" spans="2:7" x14ac:dyDescent="0.25">
      <c r="B20" t="s">
        <v>3</v>
      </c>
      <c r="F20" s="8"/>
      <c r="G20" s="8">
        <v>300</v>
      </c>
    </row>
    <row r="21" spans="2:7" x14ac:dyDescent="0.25">
      <c r="B21" t="s">
        <v>14</v>
      </c>
      <c r="F21" s="8"/>
      <c r="G21" s="8">
        <v>11950</v>
      </c>
    </row>
    <row r="22" spans="2:7" x14ac:dyDescent="0.25">
      <c r="C22" t="s">
        <v>15</v>
      </c>
      <c r="F22" s="8">
        <v>1650</v>
      </c>
      <c r="G22" s="8"/>
    </row>
    <row r="23" spans="2:7" x14ac:dyDescent="0.25">
      <c r="C23" t="s">
        <v>16</v>
      </c>
      <c r="F23" s="8">
        <v>3000</v>
      </c>
      <c r="G23" s="8"/>
    </row>
    <row r="24" spans="2:7" x14ac:dyDescent="0.25">
      <c r="C24" t="s">
        <v>17</v>
      </c>
      <c r="F24" s="8">
        <v>3000</v>
      </c>
      <c r="G24" s="8"/>
    </row>
    <row r="25" spans="2:7" x14ac:dyDescent="0.25">
      <c r="C25" t="s">
        <v>18</v>
      </c>
      <c r="F25" s="8">
        <v>2700</v>
      </c>
      <c r="G25" s="8"/>
    </row>
    <row r="26" spans="2:7" x14ac:dyDescent="0.25">
      <c r="C26" t="s">
        <v>13</v>
      </c>
      <c r="F26" s="8">
        <v>1500</v>
      </c>
      <c r="G26" s="8"/>
    </row>
    <row r="27" spans="2:7" x14ac:dyDescent="0.25">
      <c r="C27" t="s">
        <v>6</v>
      </c>
      <c r="F27" s="8">
        <v>100</v>
      </c>
      <c r="G27" s="8"/>
    </row>
    <row r="28" spans="2:7" x14ac:dyDescent="0.25">
      <c r="B28" t="s">
        <v>5</v>
      </c>
      <c r="F28" s="8"/>
      <c r="G28" s="8">
        <v>1500</v>
      </c>
    </row>
    <row r="29" spans="2:7" x14ac:dyDescent="0.25">
      <c r="B29" t="s">
        <v>6</v>
      </c>
      <c r="F29" s="8"/>
      <c r="G29" s="8">
        <v>957</v>
      </c>
    </row>
    <row r="31" spans="2:7" ht="21" x14ac:dyDescent="0.35">
      <c r="B31" s="19" t="s">
        <v>54</v>
      </c>
      <c r="C31" s="19"/>
      <c r="D31" s="19"/>
      <c r="E31" s="19"/>
      <c r="F31" s="19"/>
      <c r="G31" s="20">
        <f>SUM(Tabela2[Valor Final])</f>
        <v>45407</v>
      </c>
    </row>
    <row r="32" spans="2:7" ht="21" x14ac:dyDescent="0.35">
      <c r="B32" s="21" t="s">
        <v>87</v>
      </c>
      <c r="C32" s="21"/>
      <c r="D32" s="21"/>
      <c r="E32" s="21"/>
      <c r="F32" s="21"/>
      <c r="G32" s="22">
        <f>'Compras Mercadorias'!I28</f>
        <v>13999.922</v>
      </c>
    </row>
    <row r="33" spans="2:7" ht="21" x14ac:dyDescent="0.35">
      <c r="B33" s="21" t="s">
        <v>88</v>
      </c>
      <c r="C33" s="21"/>
      <c r="D33" s="21"/>
      <c r="E33" s="21"/>
      <c r="F33" s="21"/>
      <c r="G33" s="23">
        <f>SUM(G31:G32)</f>
        <v>59406.921999999999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2:U29"/>
  <sheetViews>
    <sheetView showGridLines="0" workbookViewId="0">
      <selection activeCell="B5" sqref="B5"/>
    </sheetView>
  </sheetViews>
  <sheetFormatPr defaultRowHeight="15" x14ac:dyDescent="0.25"/>
  <cols>
    <col min="2" max="2" width="17.7109375" customWidth="1"/>
    <col min="3" max="3" width="30.85546875" bestFit="1" customWidth="1"/>
    <col min="4" max="4" width="17.7109375" customWidth="1"/>
    <col min="5" max="8" width="17.5703125" customWidth="1"/>
    <col min="9" max="9" width="19.85546875" bestFit="1" customWidth="1"/>
  </cols>
  <sheetData>
    <row r="2" spans="1:21" s="4" customFormat="1" ht="27.95" customHeight="1" x14ac:dyDescent="0.25">
      <c r="A2" s="11"/>
      <c r="B2" s="12" t="s">
        <v>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</row>
    <row r="3" spans="1:21" ht="31.5" customHeight="1" x14ac:dyDescent="0.25">
      <c r="B3" t="s">
        <v>110</v>
      </c>
    </row>
    <row r="4" spans="1:21" ht="14.25" customHeight="1" x14ac:dyDescent="0.3">
      <c r="A4" s="10"/>
      <c r="B4" t="s">
        <v>43</v>
      </c>
      <c r="C4" t="s">
        <v>55</v>
      </c>
      <c r="D4" t="s">
        <v>56</v>
      </c>
      <c r="E4" t="s">
        <v>57</v>
      </c>
      <c r="F4" t="s">
        <v>58</v>
      </c>
      <c r="G4" t="s">
        <v>59</v>
      </c>
      <c r="H4" t="s">
        <v>60</v>
      </c>
      <c r="I4" t="s">
        <v>61</v>
      </c>
    </row>
    <row r="5" spans="1:21" x14ac:dyDescent="0.25">
      <c r="B5" s="15">
        <v>42190</v>
      </c>
      <c r="C5" t="s">
        <v>77</v>
      </c>
      <c r="D5" t="s">
        <v>34</v>
      </c>
      <c r="E5" t="str">
        <f>IFERROR(VLOOKUP(Tabela8[[#This Row],[Mercadoria]],Calculos!J$5:M$32,4,FALSE),"")</f>
        <v>Unidade</v>
      </c>
      <c r="F5">
        <v>50</v>
      </c>
      <c r="G5" s="8">
        <f>IFERROR(VLOOKUP(Tabela8[[#This Row],[Mercadoria]],Calculos!J$5:M$32,2,FALSE),0)</f>
        <v>2.3660000000000001</v>
      </c>
      <c r="H5" s="14">
        <v>0.05</v>
      </c>
      <c r="I5" s="8">
        <f>Tabela8[[#This Row],[Quantidade]]*Tabela8[[#This Row],[Preço Unitário]]*(1-Tabela8[[#This Row],[Desconto]])</f>
        <v>112.38500000000001</v>
      </c>
    </row>
    <row r="6" spans="1:21" x14ac:dyDescent="0.25">
      <c r="B6" s="15">
        <v>42190</v>
      </c>
      <c r="C6" t="s">
        <v>78</v>
      </c>
      <c r="D6" t="s">
        <v>20</v>
      </c>
      <c r="E6" t="str">
        <f>IFERROR(VLOOKUP(Tabela8[[#This Row],[Mercadoria]],Calculos!J$5:M$32,4,FALSE),"")</f>
        <v>Kg</v>
      </c>
      <c r="F6">
        <v>120</v>
      </c>
      <c r="G6" s="8">
        <f>IFERROR(VLOOKUP(Tabela8[[#This Row],[Mercadoria]],Calculos!J$5:M$32,2,FALSE),0)</f>
        <v>4.0659999999999998</v>
      </c>
      <c r="H6" s="14"/>
      <c r="I6" s="8">
        <f>Tabela8[[#This Row],[Quantidade]]*Tabela8[[#This Row],[Preço Unitário]]*(1-Tabela8[[#This Row],[Desconto]])</f>
        <v>487.91999999999996</v>
      </c>
    </row>
    <row r="7" spans="1:21" x14ac:dyDescent="0.25">
      <c r="B7" s="15">
        <v>42189</v>
      </c>
      <c r="C7" t="s">
        <v>78</v>
      </c>
      <c r="D7" t="s">
        <v>20</v>
      </c>
      <c r="E7" t="str">
        <f>IFERROR(VLOOKUP(Tabela8[[#This Row],[Mercadoria]],Calculos!J$5:M$32,4,FALSE),"")</f>
        <v>Kg</v>
      </c>
      <c r="F7">
        <v>150</v>
      </c>
      <c r="G7" s="8">
        <f>IFERROR(VLOOKUP(Tabela8[[#This Row],[Mercadoria]],Calculos!J$5:M$32,2,FALSE),0)</f>
        <v>4.0659999999999998</v>
      </c>
      <c r="H7" s="14"/>
      <c r="I7" s="8">
        <f>Tabela8[[#This Row],[Quantidade]]*Tabela8[[#This Row],[Preço Unitário]]*(1-Tabela8[[#This Row],[Desconto]])</f>
        <v>609.9</v>
      </c>
    </row>
    <row r="8" spans="1:21" x14ac:dyDescent="0.25">
      <c r="B8" s="15">
        <v>42189</v>
      </c>
      <c r="C8" t="s">
        <v>78</v>
      </c>
      <c r="D8" t="s">
        <v>19</v>
      </c>
      <c r="E8" t="str">
        <f>IFERROR(VLOOKUP(Tabela8[[#This Row],[Mercadoria]],Calculos!J$5:M$32,4,FALSE),"")</f>
        <v>Kg</v>
      </c>
      <c r="F8">
        <v>150</v>
      </c>
      <c r="G8" s="8">
        <f>IFERROR(VLOOKUP(Tabela8[[#This Row],[Mercadoria]],Calculos!J$5:M$32,2,FALSE),0)</f>
        <v>2.3406000000000002</v>
      </c>
      <c r="H8" s="14"/>
      <c r="I8" s="8">
        <f>Tabela8[[#This Row],[Quantidade]]*Tabela8[[#This Row],[Preço Unitário]]*(1-Tabela8[[#This Row],[Desconto]])</f>
        <v>351.09000000000003</v>
      </c>
    </row>
    <row r="9" spans="1:21" x14ac:dyDescent="0.25">
      <c r="B9" s="15">
        <v>42189</v>
      </c>
      <c r="C9" t="s">
        <v>79</v>
      </c>
      <c r="D9" t="s">
        <v>32</v>
      </c>
      <c r="E9" t="str">
        <f>IFERROR(VLOOKUP(Tabela8[[#This Row],[Mercadoria]],Calculos!J$5:M$32,4,FALSE),"")</f>
        <v>Lata</v>
      </c>
      <c r="F9">
        <v>100</v>
      </c>
      <c r="G9" s="8">
        <f>IFERROR(VLOOKUP(Tabela8[[#This Row],[Mercadoria]],Calculos!J$5:M$32,2,FALSE),0)</f>
        <v>2.1023999999999998</v>
      </c>
      <c r="H9" s="14"/>
      <c r="I9" s="8">
        <f>Tabela8[[#This Row],[Quantidade]]*Tabela8[[#This Row],[Preço Unitário]]*(1-Tabela8[[#This Row],[Desconto]])</f>
        <v>210.23999999999998</v>
      </c>
    </row>
    <row r="10" spans="1:21" x14ac:dyDescent="0.25">
      <c r="B10" s="15">
        <v>42189</v>
      </c>
      <c r="C10" t="s">
        <v>79</v>
      </c>
      <c r="D10" t="s">
        <v>28</v>
      </c>
      <c r="E10" t="str">
        <f>IFERROR(VLOOKUP(Tabela8[[#This Row],[Mercadoria]],Calculos!J$5:M$32,4,FALSE),"")</f>
        <v>Litro</v>
      </c>
      <c r="F10">
        <v>200</v>
      </c>
      <c r="G10" s="8">
        <f>IFERROR(VLOOKUP(Tabela8[[#This Row],[Mercadoria]],Calculos!J$5:M$32,2,FALSE),0)</f>
        <v>3.2084999999999999</v>
      </c>
      <c r="H10" s="14"/>
      <c r="I10" s="8">
        <f>Tabela8[[#This Row],[Quantidade]]*Tabela8[[#This Row],[Preço Unitário]]*(1-Tabela8[[#This Row],[Desconto]])</f>
        <v>641.69999999999993</v>
      </c>
    </row>
    <row r="11" spans="1:21" x14ac:dyDescent="0.25">
      <c r="B11" s="15">
        <v>42188</v>
      </c>
      <c r="C11" t="s">
        <v>80</v>
      </c>
      <c r="D11" t="s">
        <v>38</v>
      </c>
      <c r="E11" t="str">
        <f>IFERROR(VLOOKUP(Tabela8[[#This Row],[Mercadoria]],Calculos!J$5:M$32,4,FALSE),"")</f>
        <v>Maço</v>
      </c>
      <c r="F11">
        <v>100</v>
      </c>
      <c r="G11" s="8">
        <f>IFERROR(VLOOKUP(Tabela8[[#This Row],[Mercadoria]],Calculos!J$5:M$32,2,FALSE),0)</f>
        <v>6.3449999999999998</v>
      </c>
      <c r="H11" s="14"/>
      <c r="I11" s="8">
        <f>Tabela8[[#This Row],[Quantidade]]*Tabela8[[#This Row],[Preço Unitário]]*(1-Tabela8[[#This Row],[Desconto]])</f>
        <v>634.5</v>
      </c>
    </row>
    <row r="12" spans="1:21" x14ac:dyDescent="0.25">
      <c r="B12" s="15">
        <v>42188</v>
      </c>
      <c r="C12" t="s">
        <v>81</v>
      </c>
      <c r="D12" t="s">
        <v>37</v>
      </c>
      <c r="E12" t="str">
        <f>IFERROR(VLOOKUP(Tabela8[[#This Row],[Mercadoria]],Calculos!J$5:M$32,4,FALSE),"")</f>
        <v>Barra</v>
      </c>
      <c r="F12">
        <v>100</v>
      </c>
      <c r="G12" s="8">
        <f>IFERROR(VLOOKUP(Tabela8[[#This Row],[Mercadoria]],Calculos!J$5:M$32,2,FALSE),0)</f>
        <v>4.5409000000000006</v>
      </c>
      <c r="H12" s="14"/>
      <c r="I12" s="8">
        <f>Tabela8[[#This Row],[Quantidade]]*Tabela8[[#This Row],[Preço Unitário]]*(1-Tabela8[[#This Row],[Desconto]])</f>
        <v>454.09000000000003</v>
      </c>
    </row>
    <row r="13" spans="1:21" x14ac:dyDescent="0.25">
      <c r="B13" s="15">
        <v>42188</v>
      </c>
      <c r="C13" t="s">
        <v>78</v>
      </c>
      <c r="D13" t="s">
        <v>20</v>
      </c>
      <c r="E13" t="str">
        <f>IFERROR(VLOOKUP(Tabela8[[#This Row],[Mercadoria]],Calculos!J$5:M$32,4,FALSE),"")</f>
        <v>Kg</v>
      </c>
      <c r="F13">
        <v>300</v>
      </c>
      <c r="G13" s="8">
        <f>IFERROR(VLOOKUP(Tabela8[[#This Row],[Mercadoria]],Calculos!J$5:M$32,2,FALSE),0)</f>
        <v>4.0659999999999998</v>
      </c>
      <c r="H13" s="14">
        <v>0.03</v>
      </c>
      <c r="I13" s="8">
        <f>Tabela8[[#This Row],[Quantidade]]*Tabela8[[#This Row],[Preço Unitário]]*(1-Tabela8[[#This Row],[Desconto]])</f>
        <v>1183.2059999999999</v>
      </c>
    </row>
    <row r="14" spans="1:21" x14ac:dyDescent="0.25">
      <c r="B14" s="15">
        <v>42188</v>
      </c>
      <c r="C14" t="s">
        <v>78</v>
      </c>
      <c r="D14" t="s">
        <v>31</v>
      </c>
      <c r="E14" t="str">
        <f>IFERROR(VLOOKUP(Tabela8[[#This Row],[Mercadoria]],Calculos!J$5:M$32,4,FALSE),"")</f>
        <v>Pacote</v>
      </c>
      <c r="F14">
        <v>50</v>
      </c>
      <c r="G14" s="8">
        <f>IFERROR(VLOOKUP(Tabela8[[#This Row],[Mercadoria]],Calculos!J$5:M$32,2,FALSE),0)</f>
        <v>1.0580000000000001</v>
      </c>
      <c r="H14" s="14"/>
      <c r="I14" s="8">
        <f>Tabela8[[#This Row],[Quantidade]]*Tabela8[[#This Row],[Preço Unitário]]*(1-Tabela8[[#This Row],[Desconto]])</f>
        <v>52.900000000000006</v>
      </c>
    </row>
    <row r="15" spans="1:21" x14ac:dyDescent="0.25">
      <c r="B15" s="15">
        <v>42188</v>
      </c>
      <c r="C15" t="s">
        <v>82</v>
      </c>
      <c r="D15" t="s">
        <v>73</v>
      </c>
      <c r="E15" t="str">
        <f>IFERROR(VLOOKUP(Tabela8[[#This Row],[Mercadoria]],Calculos!J$5:M$32,4,FALSE),"")</f>
        <v>Unidade</v>
      </c>
      <c r="F15">
        <v>300</v>
      </c>
      <c r="G15" s="8">
        <f>IFERROR(VLOOKUP(Tabela8[[#This Row],[Mercadoria]],Calculos!J$5:M$32,2,FALSE),0)</f>
        <v>2.6299000000000001</v>
      </c>
      <c r="H15" s="14"/>
      <c r="I15" s="8">
        <f>Tabela8[[#This Row],[Quantidade]]*Tabela8[[#This Row],[Preço Unitário]]*(1-Tabela8[[#This Row],[Desconto]])</f>
        <v>788.97</v>
      </c>
    </row>
    <row r="16" spans="1:21" x14ac:dyDescent="0.25">
      <c r="B16" s="15">
        <v>42188</v>
      </c>
      <c r="C16" t="s">
        <v>81</v>
      </c>
      <c r="D16" t="s">
        <v>36</v>
      </c>
      <c r="E16" t="str">
        <f>IFERROR(VLOOKUP(Tabela8[[#This Row],[Mercadoria]],Calculos!J$5:M$32,4,FALSE),"")</f>
        <v>Pacote</v>
      </c>
      <c r="F16">
        <v>100</v>
      </c>
      <c r="G16" s="8">
        <f>IFERROR(VLOOKUP(Tabela8[[#This Row],[Mercadoria]],Calculos!J$5:M$32,2,FALSE),0)</f>
        <v>1.8506999999999998</v>
      </c>
      <c r="H16" s="14"/>
      <c r="I16" s="8">
        <f>Tabela8[[#This Row],[Quantidade]]*Tabela8[[#This Row],[Preço Unitário]]*(1-Tabela8[[#This Row],[Desconto]])</f>
        <v>185.07</v>
      </c>
    </row>
    <row r="17" spans="2:9" x14ac:dyDescent="0.25">
      <c r="B17" s="15">
        <v>42188</v>
      </c>
      <c r="C17" t="s">
        <v>79</v>
      </c>
      <c r="D17" t="s">
        <v>32</v>
      </c>
      <c r="E17" t="str">
        <f>IFERROR(VLOOKUP(Tabela8[[#This Row],[Mercadoria]],Calculos!J$5:M$32,4,FALSE),"")</f>
        <v>Lata</v>
      </c>
      <c r="F17">
        <v>100</v>
      </c>
      <c r="G17" s="8">
        <f>IFERROR(VLOOKUP(Tabela8[[#This Row],[Mercadoria]],Calculos!J$5:M$32,2,FALSE),0)</f>
        <v>2.1023999999999998</v>
      </c>
      <c r="H17" s="14"/>
      <c r="I17" s="8">
        <f>Tabela8[[#This Row],[Quantidade]]*Tabela8[[#This Row],[Preço Unitário]]*(1-Tabela8[[#This Row],[Desconto]])</f>
        <v>210.23999999999998</v>
      </c>
    </row>
    <row r="18" spans="2:9" x14ac:dyDescent="0.25">
      <c r="B18" s="15">
        <v>42188</v>
      </c>
      <c r="C18" t="s">
        <v>83</v>
      </c>
      <c r="D18" t="s">
        <v>24</v>
      </c>
      <c r="E18" t="str">
        <f>IFERROR(VLOOKUP(Tabela8[[#This Row],[Mercadoria]],Calculos!J$5:M$32,4,FALSE),"")</f>
        <v>Kg</v>
      </c>
      <c r="F18">
        <v>110</v>
      </c>
      <c r="G18" s="8">
        <f>IFERROR(VLOOKUP(Tabela8[[#This Row],[Mercadoria]],Calculos!J$5:M$32,2,FALSE),0)</f>
        <v>6.4216000000000006</v>
      </c>
      <c r="H18" s="14"/>
      <c r="I18" s="8">
        <f>Tabela8[[#This Row],[Quantidade]]*Tabela8[[#This Row],[Preço Unitário]]*(1-Tabela8[[#This Row],[Desconto]])</f>
        <v>706.37600000000009</v>
      </c>
    </row>
    <row r="19" spans="2:9" x14ac:dyDescent="0.25">
      <c r="B19" s="15">
        <v>42188</v>
      </c>
      <c r="C19" t="s">
        <v>84</v>
      </c>
      <c r="D19" t="s">
        <v>25</v>
      </c>
      <c r="E19" t="str">
        <f>IFERROR(VLOOKUP(Tabela8[[#This Row],[Mercadoria]],Calculos!J$5:M$32,4,FALSE),"")</f>
        <v>Kg</v>
      </c>
      <c r="F19">
        <v>50</v>
      </c>
      <c r="G19" s="8">
        <f>IFERROR(VLOOKUP(Tabela8[[#This Row],[Mercadoria]],Calculos!J$5:M$32,2,FALSE),0)</f>
        <v>22.226999999999997</v>
      </c>
      <c r="H19" s="14">
        <v>0.1</v>
      </c>
      <c r="I19" s="8">
        <f>Tabela8[[#This Row],[Quantidade]]*Tabela8[[#This Row],[Preço Unitário]]*(1-Tabela8[[#This Row],[Desconto]])</f>
        <v>1000.2149999999999</v>
      </c>
    </row>
    <row r="20" spans="2:9" x14ac:dyDescent="0.25">
      <c r="B20" s="15">
        <v>42187</v>
      </c>
      <c r="C20" t="s">
        <v>78</v>
      </c>
      <c r="D20" t="s">
        <v>19</v>
      </c>
      <c r="E20" t="str">
        <f>IFERROR(VLOOKUP(Tabela8[[#This Row],[Mercadoria]],Calculos!J$5:M$32,4,FALSE),"")</f>
        <v>Kg</v>
      </c>
      <c r="F20">
        <v>300</v>
      </c>
      <c r="G20" s="8">
        <f>IFERROR(VLOOKUP(Tabela8[[#This Row],[Mercadoria]],Calculos!J$5:M$32,2,FALSE),0)</f>
        <v>2.3406000000000002</v>
      </c>
      <c r="H20" s="14"/>
      <c r="I20" s="8">
        <f>Tabela8[[#This Row],[Quantidade]]*Tabela8[[#This Row],[Preço Unitário]]*(1-Tabela8[[#This Row],[Desconto]])</f>
        <v>702.18000000000006</v>
      </c>
    </row>
    <row r="21" spans="2:9" x14ac:dyDescent="0.25">
      <c r="B21" s="15">
        <v>42187</v>
      </c>
      <c r="C21" t="s">
        <v>77</v>
      </c>
      <c r="D21" t="s">
        <v>22</v>
      </c>
      <c r="E21" t="str">
        <f>IFERROR(VLOOKUP(Tabela8[[#This Row],[Mercadoria]],Calculos!J$5:M$32,4,FALSE),"")</f>
        <v>Unidade</v>
      </c>
      <c r="F21">
        <v>150</v>
      </c>
      <c r="G21" s="8">
        <f>IFERROR(VLOOKUP(Tabela8[[#This Row],[Mercadoria]],Calculos!J$5:M$32,2,FALSE),0)</f>
        <v>2.8405</v>
      </c>
      <c r="H21" s="14"/>
      <c r="I21" s="8">
        <f>Tabela8[[#This Row],[Quantidade]]*Tabela8[[#This Row],[Preço Unitário]]*(1-Tabela8[[#This Row],[Desconto]])</f>
        <v>426.07499999999999</v>
      </c>
    </row>
    <row r="22" spans="2:9" x14ac:dyDescent="0.25">
      <c r="B22" s="15">
        <v>42187</v>
      </c>
      <c r="C22" t="s">
        <v>85</v>
      </c>
      <c r="D22" t="s">
        <v>29</v>
      </c>
      <c r="E22" t="str">
        <f>IFERROR(VLOOKUP(Tabela8[[#This Row],[Mercadoria]],Calculos!J$5:M$32,4,FALSE),"")</f>
        <v>Kg</v>
      </c>
      <c r="F22">
        <v>150</v>
      </c>
      <c r="G22" s="8">
        <f>IFERROR(VLOOKUP(Tabela8[[#This Row],[Mercadoria]],Calculos!J$5:M$32,2,FALSE),0)</f>
        <v>3.6309000000000005</v>
      </c>
      <c r="H22" s="14"/>
      <c r="I22" s="8">
        <f>Tabela8[[#This Row],[Quantidade]]*Tabela8[[#This Row],[Preço Unitário]]*(1-Tabela8[[#This Row],[Desconto]])</f>
        <v>544.6350000000001</v>
      </c>
    </row>
    <row r="23" spans="2:9" x14ac:dyDescent="0.25">
      <c r="B23" s="15">
        <v>42187</v>
      </c>
      <c r="C23" t="s">
        <v>86</v>
      </c>
      <c r="D23" t="s">
        <v>23</v>
      </c>
      <c r="E23" t="str">
        <f>IFERROR(VLOOKUP(Tabela8[[#This Row],[Mercadoria]],Calculos!J$5:M$32,4,FALSE),"")</f>
        <v>Kg</v>
      </c>
      <c r="F23">
        <v>150</v>
      </c>
      <c r="G23" s="8">
        <f>IFERROR(VLOOKUP(Tabela8[[#This Row],[Mercadoria]],Calculos!J$5:M$32,2,FALSE),0)</f>
        <v>14.469000000000001</v>
      </c>
      <c r="H23" s="14"/>
      <c r="I23" s="8">
        <f>Tabela8[[#This Row],[Quantidade]]*Tabela8[[#This Row],[Preço Unitário]]*(1-Tabela8[[#This Row],[Desconto]])</f>
        <v>2170.3500000000004</v>
      </c>
    </row>
    <row r="24" spans="2:9" x14ac:dyDescent="0.25">
      <c r="B24" s="15">
        <v>42187</v>
      </c>
      <c r="C24" t="s">
        <v>79</v>
      </c>
      <c r="D24" t="s">
        <v>32</v>
      </c>
      <c r="E24" t="str">
        <f>IFERROR(VLOOKUP(Tabela8[[#This Row],[Mercadoria]],Calculos!J$5:M$32,4,FALSE),"")</f>
        <v>Lata</v>
      </c>
      <c r="F24">
        <v>100</v>
      </c>
      <c r="G24" s="8">
        <f>IFERROR(VLOOKUP(Tabela8[[#This Row],[Mercadoria]],Calculos!J$5:M$32,2,FALSE),0)</f>
        <v>2.1023999999999998</v>
      </c>
      <c r="H24" s="14"/>
      <c r="I24" s="8">
        <f>Tabela8[[#This Row],[Quantidade]]*Tabela8[[#This Row],[Preço Unitário]]*(1-Tabela8[[#This Row],[Desconto]])</f>
        <v>210.23999999999998</v>
      </c>
    </row>
    <row r="25" spans="2:9" x14ac:dyDescent="0.25">
      <c r="B25" s="15">
        <v>42187</v>
      </c>
      <c r="C25" t="s">
        <v>79</v>
      </c>
      <c r="D25" t="s">
        <v>27</v>
      </c>
      <c r="E25" t="str">
        <f>IFERROR(VLOOKUP(Tabela8[[#This Row],[Mercadoria]],Calculos!J$5:M$32,4,FALSE),"")</f>
        <v>Garrafa</v>
      </c>
      <c r="F25">
        <v>80</v>
      </c>
      <c r="G25" s="8">
        <f>IFERROR(VLOOKUP(Tabela8[[#This Row],[Mercadoria]],Calculos!J$5:M$32,2,FALSE),0)</f>
        <v>26.012999999999998</v>
      </c>
      <c r="H25" s="14"/>
      <c r="I25" s="8">
        <f>Tabela8[[#This Row],[Quantidade]]*Tabela8[[#This Row],[Preço Unitário]]*(1-Tabela8[[#This Row],[Desconto]])</f>
        <v>2081.04</v>
      </c>
    </row>
    <row r="26" spans="2:9" x14ac:dyDescent="0.25">
      <c r="B26" s="15">
        <v>42187</v>
      </c>
      <c r="C26" t="s">
        <v>77</v>
      </c>
      <c r="D26" t="s">
        <v>34</v>
      </c>
      <c r="E26" t="str">
        <f>IFERROR(VLOOKUP(Tabela8[[#This Row],[Mercadoria]],Calculos!J$5:M$32,4,FALSE),"")</f>
        <v>Unidade</v>
      </c>
      <c r="F26">
        <v>100</v>
      </c>
      <c r="G26" s="8">
        <f>IFERROR(VLOOKUP(Tabela8[[#This Row],[Mercadoria]],Calculos!J$5:M$32,2,FALSE),0)</f>
        <v>2.3660000000000001</v>
      </c>
      <c r="H26" s="14"/>
      <c r="I26" s="8">
        <f>Tabela8[[#This Row],[Quantidade]]*Tabela8[[#This Row],[Preço Unitário]]*(1-Tabela8[[#This Row],[Desconto]])</f>
        <v>236.60000000000002</v>
      </c>
    </row>
    <row r="27" spans="2:9" x14ac:dyDescent="0.25">
      <c r="G27" s="8"/>
      <c r="I27" s="8"/>
    </row>
    <row r="28" spans="2:9" ht="21" x14ac:dyDescent="0.35">
      <c r="B28" s="17" t="s">
        <v>87</v>
      </c>
      <c r="C28" s="17"/>
      <c r="D28" s="17"/>
      <c r="E28" s="17"/>
      <c r="F28" s="17"/>
      <c r="G28" s="18"/>
      <c r="H28" s="17"/>
      <c r="I28" s="18">
        <f>SUM(Tabela8[Valor Pago])</f>
        <v>13999.922</v>
      </c>
    </row>
    <row r="29" spans="2:9" x14ac:dyDescent="0.25">
      <c r="G29" s="8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CD930D-EDCC-4935-8BE2-BA1DF031DE81}">
          <x14:formula1>
            <xm:f>Calculos!$J$5:$J$33</xm:f>
          </x14:formula1>
          <xm:sqref>D5:D26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2:U11"/>
  <sheetViews>
    <sheetView showGridLines="0" zoomScale="85" zoomScaleNormal="85" workbookViewId="0">
      <selection activeCell="B5" sqref="B5"/>
    </sheetView>
  </sheetViews>
  <sheetFormatPr defaultRowHeight="15" x14ac:dyDescent="0.25"/>
  <cols>
    <col min="2" max="2" width="30.5703125" customWidth="1"/>
    <col min="3" max="3" width="27.28515625" customWidth="1"/>
    <col min="4" max="4" width="104.7109375" customWidth="1"/>
    <col min="5" max="5" width="21.42578125" bestFit="1" customWidth="1"/>
    <col min="9" max="9" width="19.85546875" bestFit="1" customWidth="1"/>
  </cols>
  <sheetData>
    <row r="2" spans="1:21" s="4" customFormat="1" ht="27.95" customHeight="1" x14ac:dyDescent="0.25">
      <c r="A2" s="24"/>
      <c r="B2" s="25" t="s">
        <v>89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</row>
    <row r="3" spans="1:21" ht="31.5" customHeight="1" x14ac:dyDescent="0.25"/>
    <row r="4" spans="1:21" x14ac:dyDescent="0.25">
      <c r="B4" t="s">
        <v>89</v>
      </c>
      <c r="C4" t="s">
        <v>43</v>
      </c>
      <c r="D4" t="s">
        <v>93</v>
      </c>
      <c r="E4" t="s">
        <v>94</v>
      </c>
    </row>
    <row r="5" spans="1:21" ht="35.25" customHeight="1" x14ac:dyDescent="0.25">
      <c r="B5" s="4" t="s">
        <v>90</v>
      </c>
      <c r="C5" s="15"/>
      <c r="D5" s="27"/>
      <c r="E5" s="30">
        <v>400000</v>
      </c>
    </row>
    <row r="6" spans="1:21" ht="35.25" customHeight="1" x14ac:dyDescent="0.25">
      <c r="B6" s="4" t="s">
        <v>13</v>
      </c>
      <c r="C6" s="15"/>
      <c r="D6" s="27"/>
      <c r="E6" s="30"/>
    </row>
    <row r="7" spans="1:21" ht="35.25" customHeight="1" x14ac:dyDescent="0.25">
      <c r="B7" s="4" t="s">
        <v>91</v>
      </c>
      <c r="C7" s="15"/>
      <c r="D7" s="27"/>
      <c r="E7" s="30"/>
    </row>
    <row r="8" spans="1:21" ht="35.25" customHeight="1" x14ac:dyDescent="0.25">
      <c r="B8" s="4" t="s">
        <v>92</v>
      </c>
      <c r="C8" s="15"/>
      <c r="D8" s="27"/>
      <c r="E8" s="30"/>
    </row>
    <row r="9" spans="1:21" ht="35.25" customHeight="1" x14ac:dyDescent="0.25">
      <c r="B9" s="4" t="s">
        <v>6</v>
      </c>
      <c r="C9" s="15"/>
      <c r="D9" s="27"/>
      <c r="E9" s="30"/>
    </row>
    <row r="11" spans="1:21" ht="21" x14ac:dyDescent="0.35">
      <c r="B11" s="28" t="s">
        <v>95</v>
      </c>
      <c r="C11" s="28"/>
      <c r="D11" s="28"/>
      <c r="E11" s="29">
        <f>SUM(Tabela10[Valor])</f>
        <v>400000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2:U28"/>
  <sheetViews>
    <sheetView showGridLines="0" workbookViewId="0">
      <selection activeCell="F6" sqref="F6"/>
    </sheetView>
  </sheetViews>
  <sheetFormatPr defaultRowHeight="15" x14ac:dyDescent="0.25"/>
  <cols>
    <col min="2" max="2" width="26.7109375" bestFit="1" customWidth="1"/>
    <col min="3" max="3" width="23.28515625" customWidth="1"/>
    <col min="4" max="4" width="19.28515625" customWidth="1"/>
    <col min="5" max="5" width="23" customWidth="1"/>
    <col min="6" max="6" width="21.42578125" customWidth="1"/>
    <col min="7" max="7" width="18.7109375" customWidth="1"/>
    <col min="8" max="8" width="14.140625" customWidth="1"/>
  </cols>
  <sheetData>
    <row r="2" spans="1:21" s="4" customFormat="1" ht="27.95" customHeight="1" x14ac:dyDescent="0.25">
      <c r="A2" s="31"/>
      <c r="B2" s="32" t="s">
        <v>9</v>
      </c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</row>
    <row r="3" spans="1:21" ht="31.5" customHeight="1" x14ac:dyDescent="0.25"/>
    <row r="4" spans="1:21" x14ac:dyDescent="0.25">
      <c r="B4" t="s">
        <v>96</v>
      </c>
      <c r="C4" t="s">
        <v>97</v>
      </c>
      <c r="D4" t="s">
        <v>98</v>
      </c>
      <c r="E4" t="s">
        <v>99</v>
      </c>
      <c r="F4" t="s">
        <v>100</v>
      </c>
      <c r="G4" t="s">
        <v>101</v>
      </c>
      <c r="H4" t="s">
        <v>102</v>
      </c>
    </row>
    <row r="5" spans="1:21" x14ac:dyDescent="0.25">
      <c r="B5" t="s">
        <v>22</v>
      </c>
      <c r="C5" s="15">
        <f>IFERROR(INDEX(Tabela8[],MATCH(Tabela13[[#This Row],[Produto]],Tabela8[Mercadoria],0),1),"")</f>
        <v>42187</v>
      </c>
      <c r="D5">
        <v>15</v>
      </c>
      <c r="E5">
        <f>SUMIF(Tabela8[Mercadoria],Tabela13[[#This Row],[Produto]],Tabela8[Quantidade])</f>
        <v>150</v>
      </c>
      <c r="F5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10</v>
      </c>
      <c r="G5">
        <f>Tabela13[[#This Row],[Quantidade Comprada]]+Tabela13[[#This Row],[Quantidade Inicial]]-Tabela13[[#This Row],[Quantidade Vendida]]</f>
        <v>155</v>
      </c>
      <c r="H5" t="str">
        <f>IF(Tabela13[[#This Row],[Quantidade Atual]]&lt;50,IF(Tabela13[[#This Row],[Quantidade Atual]]&lt;21,"COMPRAR","ATENÇÃO"),"OK")</f>
        <v>OK</v>
      </c>
    </row>
    <row r="6" spans="1:21" x14ac:dyDescent="0.25">
      <c r="B6" t="s">
        <v>31</v>
      </c>
      <c r="C6" s="15">
        <f>IFERROR(INDEX(Tabela8[],MATCH(Tabela13[[#This Row],[Produto]],Tabela8[Mercadoria],0),1),"")</f>
        <v>42188</v>
      </c>
      <c r="D6">
        <v>10</v>
      </c>
      <c r="E6">
        <f>SUMIF(Tabela8[Mercadoria],Tabela13[[#This Row],[Produto]],Tabela8[Quantidade])</f>
        <v>50</v>
      </c>
      <c r="F6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20</v>
      </c>
      <c r="G6">
        <f>Tabela13[[#This Row],[Quantidade Comprada]]+Tabela13[[#This Row],[Quantidade Inicial]]-Tabela13[[#This Row],[Quantidade Vendida]]</f>
        <v>40</v>
      </c>
      <c r="H6" t="str">
        <f>IF(Tabela13[[#This Row],[Quantidade Atual]]&lt;50,IF(Tabela13[[#This Row],[Quantidade Atual]]&lt;21,"COMPRAR","ATENÇÃO"),"OK")</f>
        <v>ATENÇÃO</v>
      </c>
    </row>
    <row r="7" spans="1:21" x14ac:dyDescent="0.25">
      <c r="B7" t="s">
        <v>19</v>
      </c>
      <c r="C7" s="15">
        <f>IFERROR(INDEX(Tabela8[],MATCH(Tabela13[[#This Row],[Produto]],Tabela8[Mercadoria],0),1),"")</f>
        <v>42189</v>
      </c>
      <c r="D7">
        <v>0</v>
      </c>
      <c r="E7">
        <f>SUMIF(Tabela8[Mercadoria],Tabela13[[#This Row],[Produto]],Tabela8[Quantidade])</f>
        <v>450</v>
      </c>
      <c r="F7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22</v>
      </c>
      <c r="G7">
        <f>Tabela13[[#This Row],[Quantidade Comprada]]+Tabela13[[#This Row],[Quantidade Inicial]]-Tabela13[[#This Row],[Quantidade Vendida]]</f>
        <v>428</v>
      </c>
      <c r="H7" t="str">
        <f>IF(Tabela13[[#This Row],[Quantidade Atual]]&lt;50,IF(Tabela13[[#This Row],[Quantidade Atual]]&lt;21,"COMPRAR","ATENÇÃO"),"OK")</f>
        <v>OK</v>
      </c>
    </row>
    <row r="8" spans="1:21" x14ac:dyDescent="0.25">
      <c r="B8" t="s">
        <v>36</v>
      </c>
      <c r="C8" s="15">
        <f>IFERROR(INDEX(Tabela8[],MATCH(Tabela13[[#This Row],[Produto]],Tabela8[Mercadoria],0),1),"")</f>
        <v>42188</v>
      </c>
      <c r="D8">
        <v>0</v>
      </c>
      <c r="E8">
        <f>SUMIF(Tabela8[Mercadoria],Tabela13[[#This Row],[Produto]],Tabela8[Quantidade])</f>
        <v>100</v>
      </c>
      <c r="F8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70</v>
      </c>
      <c r="G8">
        <f>Tabela13[[#This Row],[Quantidade Comprada]]+Tabela13[[#This Row],[Quantidade Inicial]]-Tabela13[[#This Row],[Quantidade Vendida]]</f>
        <v>30</v>
      </c>
      <c r="H8" t="str">
        <f>IF(Tabela13[[#This Row],[Quantidade Atual]]&lt;50,IF(Tabela13[[#This Row],[Quantidade Atual]]&lt;21,"COMPRAR","ATENÇÃO"),"OK")</f>
        <v>ATENÇÃO</v>
      </c>
    </row>
    <row r="9" spans="1:21" x14ac:dyDescent="0.25">
      <c r="B9" t="s">
        <v>39</v>
      </c>
      <c r="C9" s="15" t="str">
        <f>IFERROR(INDEX(Tabela8[],MATCH(Tabela13[[#This Row],[Produto]],Tabela8[Mercadoria],0),1),"")</f>
        <v/>
      </c>
      <c r="D9">
        <v>150</v>
      </c>
      <c r="E9">
        <f>SUMIF(Tabela8[Mercadoria],Tabela13[[#This Row],[Produto]],Tabela8[Quantidade])</f>
        <v>0</v>
      </c>
      <c r="F9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0</v>
      </c>
      <c r="G9">
        <f>Tabela13[[#This Row],[Quantidade Comprada]]+Tabela13[[#This Row],[Quantidade Inicial]]-Tabela13[[#This Row],[Quantidade Vendida]]</f>
        <v>150</v>
      </c>
      <c r="H9" t="str">
        <f>IF(Tabela13[[#This Row],[Quantidade Atual]]&lt;50,IF(Tabela13[[#This Row],[Quantidade Atual]]&lt;21,"COMPRAR","ATENÇÃO"),"OK")</f>
        <v>OK</v>
      </c>
    </row>
    <row r="10" spans="1:21" x14ac:dyDescent="0.25">
      <c r="B10" t="s">
        <v>35</v>
      </c>
      <c r="C10" s="15" t="str">
        <f>IFERROR(INDEX(Tabela8[],MATCH(Tabela13[[#This Row],[Produto]],Tabela8[Mercadoria],0),1),"")</f>
        <v/>
      </c>
      <c r="D10">
        <v>25</v>
      </c>
      <c r="E10">
        <f>SUMIF(Tabela8[Mercadoria],Tabela13[[#This Row],[Produto]],Tabela8[Quantidade])</f>
        <v>0</v>
      </c>
      <c r="F10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3</v>
      </c>
      <c r="G10">
        <f>Tabela13[[#This Row],[Quantidade Comprada]]+Tabela13[[#This Row],[Quantidade Inicial]]-Tabela13[[#This Row],[Quantidade Vendida]]</f>
        <v>22</v>
      </c>
      <c r="H10" t="str">
        <f>IF(Tabela13[[#This Row],[Quantidade Atual]]&lt;50,IF(Tabela13[[#This Row],[Quantidade Atual]]&lt;21,"COMPRAR","ATENÇÃO"),"OK")</f>
        <v>ATENÇÃO</v>
      </c>
    </row>
    <row r="11" spans="1:21" x14ac:dyDescent="0.25">
      <c r="B11" t="s">
        <v>23</v>
      </c>
      <c r="C11" s="15">
        <f>IFERROR(INDEX(Tabela8[],MATCH(Tabela13[[#This Row],[Produto]],Tabela8[Mercadoria],0),1),"")</f>
        <v>42187</v>
      </c>
      <c r="D11">
        <v>25</v>
      </c>
      <c r="E11">
        <f>SUMIF(Tabela8[Mercadoria],Tabela13[[#This Row],[Produto]],Tabela8[Quantidade])</f>
        <v>150</v>
      </c>
      <c r="F11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21</v>
      </c>
      <c r="G11">
        <f>Tabela13[[#This Row],[Quantidade Comprada]]+Tabela13[[#This Row],[Quantidade Inicial]]-Tabela13[[#This Row],[Quantidade Vendida]]</f>
        <v>154</v>
      </c>
      <c r="H11" t="str">
        <f>IF(Tabela13[[#This Row],[Quantidade Atual]]&lt;50,IF(Tabela13[[#This Row],[Quantidade Atual]]&lt;21,"COMPRAR","ATENÇÃO"),"OK")</f>
        <v>OK</v>
      </c>
    </row>
    <row r="12" spans="1:21" x14ac:dyDescent="0.25">
      <c r="B12" t="s">
        <v>29</v>
      </c>
      <c r="C12" s="15">
        <f>IFERROR(INDEX(Tabela8[],MATCH(Tabela13[[#This Row],[Produto]],Tabela8[Mercadoria],0),1),"")</f>
        <v>42187</v>
      </c>
      <c r="D12">
        <v>0</v>
      </c>
      <c r="E12">
        <f>SUMIF(Tabela8[Mercadoria],Tabela13[[#This Row],[Produto]],Tabela8[Quantidade])</f>
        <v>150</v>
      </c>
      <c r="F12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7</v>
      </c>
      <c r="G12">
        <f>Tabela13[[#This Row],[Quantidade Comprada]]+Tabela13[[#This Row],[Quantidade Inicial]]-Tabela13[[#This Row],[Quantidade Vendida]]</f>
        <v>143</v>
      </c>
      <c r="H12" t="str">
        <f>IF(Tabela13[[#This Row],[Quantidade Atual]]&lt;50,IF(Tabela13[[#This Row],[Quantidade Atual]]&lt;21,"COMPRAR","ATENÇÃO"),"OK")</f>
        <v>OK</v>
      </c>
    </row>
    <row r="13" spans="1:21" x14ac:dyDescent="0.25">
      <c r="B13" t="s">
        <v>32</v>
      </c>
      <c r="C13" s="15">
        <f>IFERROR(INDEX(Tabela8[],MATCH(Tabela13[[#This Row],[Produto]],Tabela8[Mercadoria],0),1),"")</f>
        <v>42189</v>
      </c>
      <c r="D13">
        <v>0</v>
      </c>
      <c r="E13">
        <f>SUMIF(Tabela8[Mercadoria],Tabela13[[#This Row],[Produto]],Tabela8[Quantidade])</f>
        <v>300</v>
      </c>
      <c r="F13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88</v>
      </c>
      <c r="G13">
        <f>Tabela13[[#This Row],[Quantidade Comprada]]+Tabela13[[#This Row],[Quantidade Inicial]]-Tabela13[[#This Row],[Quantidade Vendida]]</f>
        <v>212</v>
      </c>
      <c r="H13" t="str">
        <f>IF(Tabela13[[#This Row],[Quantidade Atual]]&lt;50,IF(Tabela13[[#This Row],[Quantidade Atual]]&lt;21,"COMPRAR","ATENÇÃO"),"OK")</f>
        <v>OK</v>
      </c>
    </row>
    <row r="14" spans="1:21" x14ac:dyDescent="0.25">
      <c r="B14" t="s">
        <v>37</v>
      </c>
      <c r="C14" s="15">
        <f>IFERROR(INDEX(Tabela8[],MATCH(Tabela13[[#This Row],[Produto]],Tabela8[Mercadoria],0),1),"")</f>
        <v>42188</v>
      </c>
      <c r="D14">
        <v>0</v>
      </c>
      <c r="E14">
        <f>SUMIF(Tabela8[Mercadoria],Tabela13[[#This Row],[Produto]],Tabela8[Quantidade])</f>
        <v>100</v>
      </c>
      <c r="F14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0</v>
      </c>
      <c r="G14">
        <f>Tabela13[[#This Row],[Quantidade Comprada]]+Tabela13[[#This Row],[Quantidade Inicial]]-Tabela13[[#This Row],[Quantidade Vendida]]</f>
        <v>100</v>
      </c>
      <c r="H14" t="str">
        <f>IF(Tabela13[[#This Row],[Quantidade Atual]]&lt;50,IF(Tabela13[[#This Row],[Quantidade Atual]]&lt;21,"COMPRAR","ATENÇÃO"),"OK")</f>
        <v>OK</v>
      </c>
    </row>
    <row r="15" spans="1:21" x14ac:dyDescent="0.25">
      <c r="B15" t="s">
        <v>38</v>
      </c>
      <c r="C15" s="15">
        <f>IFERROR(INDEX(Tabela8[],MATCH(Tabela13[[#This Row],[Produto]],Tabela8[Mercadoria],0),1),"")</f>
        <v>42188</v>
      </c>
      <c r="D15">
        <v>0</v>
      </c>
      <c r="E15">
        <f>SUMIF(Tabela8[Mercadoria],Tabela13[[#This Row],[Produto]],Tabela8[Quantidade])</f>
        <v>100</v>
      </c>
      <c r="F15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0</v>
      </c>
      <c r="G15">
        <f>Tabela13[[#This Row],[Quantidade Comprada]]+Tabela13[[#This Row],[Quantidade Inicial]]-Tabela13[[#This Row],[Quantidade Vendida]]</f>
        <v>100</v>
      </c>
      <c r="H15" t="str">
        <f>IF(Tabela13[[#This Row],[Quantidade Atual]]&lt;50,IF(Tabela13[[#This Row],[Quantidade Atual]]&lt;21,"COMPRAR","ATENÇÃO"),"OK")</f>
        <v>OK</v>
      </c>
    </row>
    <row r="16" spans="1:21" x14ac:dyDescent="0.25">
      <c r="B16" t="s">
        <v>34</v>
      </c>
      <c r="C16" s="15">
        <f>IFERROR(INDEX(Tabela8[],MATCH(Tabela13[[#This Row],[Produto]],Tabela8[Mercadoria],0),1),"")</f>
        <v>42190</v>
      </c>
      <c r="D16">
        <v>0</v>
      </c>
      <c r="E16">
        <f>SUMIF(Tabela8[Mercadoria],Tabela13[[#This Row],[Produto]],Tabela8[Quantidade])</f>
        <v>150</v>
      </c>
      <c r="F16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0</v>
      </c>
      <c r="G16">
        <f>Tabela13[[#This Row],[Quantidade Comprada]]+Tabela13[[#This Row],[Quantidade Inicial]]-Tabela13[[#This Row],[Quantidade Vendida]]</f>
        <v>150</v>
      </c>
      <c r="H16" t="str">
        <f>IF(Tabela13[[#This Row],[Quantidade Atual]]&lt;50,IF(Tabela13[[#This Row],[Quantidade Atual]]&lt;21,"COMPRAR","ATENÇÃO"),"OK")</f>
        <v>OK</v>
      </c>
    </row>
    <row r="17" spans="2:8" x14ac:dyDescent="0.25">
      <c r="B17" t="s">
        <v>20</v>
      </c>
      <c r="C17" s="15">
        <f>IFERROR(INDEX(Tabela8[],MATCH(Tabela13[[#This Row],[Produto]],Tabela8[Mercadoria],0),1),"")</f>
        <v>42190</v>
      </c>
      <c r="D17">
        <v>0</v>
      </c>
      <c r="E17">
        <f>SUMIF(Tabela8[Mercadoria],Tabela13[[#This Row],[Produto]],Tabela8[Quantidade])</f>
        <v>570</v>
      </c>
      <c r="F17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10</v>
      </c>
      <c r="G17">
        <f>Tabela13[[#This Row],[Quantidade Comprada]]+Tabela13[[#This Row],[Quantidade Inicial]]-Tabela13[[#This Row],[Quantidade Vendida]]</f>
        <v>560</v>
      </c>
      <c r="H17" t="str">
        <f>IF(Tabela13[[#This Row],[Quantidade Atual]]&lt;50,IF(Tabela13[[#This Row],[Quantidade Atual]]&lt;21,"COMPRAR","ATENÇÃO"),"OK")</f>
        <v>OK</v>
      </c>
    </row>
    <row r="18" spans="2:8" x14ac:dyDescent="0.25">
      <c r="B18" t="s">
        <v>24</v>
      </c>
      <c r="C18" s="15">
        <f>IFERROR(INDEX(Tabela8[],MATCH(Tabela13[[#This Row],[Produto]],Tabela8[Mercadoria],0),1),"")</f>
        <v>42188</v>
      </c>
      <c r="D18">
        <v>39</v>
      </c>
      <c r="E18">
        <f>SUMIF(Tabela8[Mercadoria],Tabela13[[#This Row],[Produto]],Tabela8[Quantidade])</f>
        <v>110</v>
      </c>
      <c r="F18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0</v>
      </c>
      <c r="G18">
        <f>Tabela13[[#This Row],[Quantidade Comprada]]+Tabela13[[#This Row],[Quantidade Inicial]]-Tabela13[[#This Row],[Quantidade Vendida]]</f>
        <v>149</v>
      </c>
      <c r="H18" t="str">
        <f>IF(Tabela13[[#This Row],[Quantidade Atual]]&lt;50,IF(Tabela13[[#This Row],[Quantidade Atual]]&lt;21,"COMPRAR","ATENÇÃO"),"OK")</f>
        <v>OK</v>
      </c>
    </row>
    <row r="19" spans="2:8" x14ac:dyDescent="0.25">
      <c r="B19" t="s">
        <v>68</v>
      </c>
      <c r="C19" s="15" t="str">
        <f>IFERROR(INDEX(Tabela8[],MATCH(Tabela13[[#This Row],[Produto]],Tabela8[Mercadoria],0),1),"")</f>
        <v/>
      </c>
      <c r="D19">
        <v>15</v>
      </c>
      <c r="E19">
        <f>SUMIF(Tabela8[Mercadoria],Tabela13[[#This Row],[Produto]],Tabela8[Quantidade])</f>
        <v>0</v>
      </c>
      <c r="F19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6</v>
      </c>
      <c r="G19">
        <f>Tabela13[[#This Row],[Quantidade Comprada]]+Tabela13[[#This Row],[Quantidade Inicial]]-Tabela13[[#This Row],[Quantidade Vendida]]</f>
        <v>9</v>
      </c>
      <c r="H19" t="str">
        <f>IF(Tabela13[[#This Row],[Quantidade Atual]]&lt;50,IF(Tabela13[[#This Row],[Quantidade Atual]]&lt;21,"COMPRAR","ATENÇÃO"),"OK")</f>
        <v>COMPRAR</v>
      </c>
    </row>
    <row r="20" spans="2:8" x14ac:dyDescent="0.25">
      <c r="B20" t="s">
        <v>73</v>
      </c>
      <c r="C20" s="15">
        <f>IFERROR(INDEX(Tabela8[],MATCH(Tabela13[[#This Row],[Produto]],Tabela8[Mercadoria],0),1),"")</f>
        <v>42188</v>
      </c>
      <c r="D20">
        <v>0</v>
      </c>
      <c r="E20">
        <f>SUMIF(Tabela8[Mercadoria],Tabela13[[#This Row],[Produto]],Tabela8[Quantidade])</f>
        <v>300</v>
      </c>
      <c r="F20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5</v>
      </c>
      <c r="G20">
        <f>Tabela13[[#This Row],[Quantidade Comprada]]+Tabela13[[#This Row],[Quantidade Inicial]]-Tabela13[[#This Row],[Quantidade Vendida]]</f>
        <v>295</v>
      </c>
      <c r="H20" t="str">
        <f>IF(Tabela13[[#This Row],[Quantidade Atual]]&lt;50,IF(Tabela13[[#This Row],[Quantidade Atual]]&lt;21,"COMPRAR","ATENÇÃO"),"OK")</f>
        <v>OK</v>
      </c>
    </row>
    <row r="21" spans="2:8" x14ac:dyDescent="0.25">
      <c r="B21" t="s">
        <v>25</v>
      </c>
      <c r="C21" s="15">
        <f>IFERROR(INDEX(Tabela8[],MATCH(Tabela13[[#This Row],[Produto]],Tabela8[Mercadoria],0),1),"")</f>
        <v>42188</v>
      </c>
      <c r="D21">
        <v>0</v>
      </c>
      <c r="E21">
        <f>SUMIF(Tabela8[Mercadoria],Tabela13[[#This Row],[Produto]],Tabela8[Quantidade])</f>
        <v>50</v>
      </c>
      <c r="F21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0</v>
      </c>
      <c r="G21">
        <f>Tabela13[[#This Row],[Quantidade Comprada]]+Tabela13[[#This Row],[Quantidade Inicial]]-Tabela13[[#This Row],[Quantidade Vendida]]</f>
        <v>50</v>
      </c>
      <c r="H21" t="str">
        <f>IF(Tabela13[[#This Row],[Quantidade Atual]]&lt;50,IF(Tabela13[[#This Row],[Quantidade Atual]]&lt;21,"COMPRAR","ATENÇÃO"),"OK")</f>
        <v>OK</v>
      </c>
    </row>
    <row r="22" spans="2:8" x14ac:dyDescent="0.25">
      <c r="B22" t="s">
        <v>26</v>
      </c>
      <c r="C22" s="15" t="str">
        <f>IFERROR(INDEX(Tabela8[],MATCH(Tabela13[[#This Row],[Produto]],Tabela8[Mercadoria],0),1),"")</f>
        <v/>
      </c>
      <c r="D22">
        <v>10</v>
      </c>
      <c r="E22">
        <f>SUMIF(Tabela8[Mercadoria],Tabela13[[#This Row],[Produto]],Tabela8[Quantidade])</f>
        <v>0</v>
      </c>
      <c r="F22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1.5</v>
      </c>
      <c r="G22">
        <f>Tabela13[[#This Row],[Quantidade Comprada]]+Tabela13[[#This Row],[Quantidade Inicial]]-Tabela13[[#This Row],[Quantidade Vendida]]</f>
        <v>8.5</v>
      </c>
      <c r="H22" t="str">
        <f>IF(Tabela13[[#This Row],[Quantidade Atual]]&lt;50,IF(Tabela13[[#This Row],[Quantidade Atual]]&lt;21,"COMPRAR","ATENÇÃO"),"OK")</f>
        <v>COMPRAR</v>
      </c>
    </row>
    <row r="23" spans="2:8" x14ac:dyDescent="0.25">
      <c r="B23" t="s">
        <v>74</v>
      </c>
      <c r="C23" s="15" t="str">
        <f>IFERROR(INDEX(Tabela8[],MATCH(Tabela13[[#This Row],[Produto]],Tabela8[Mercadoria],0),1),"")</f>
        <v/>
      </c>
      <c r="D23">
        <v>100</v>
      </c>
      <c r="E23">
        <f>SUMIF(Tabela8[Mercadoria],Tabela13[[#This Row],[Produto]],Tabela8[Quantidade])</f>
        <v>0</v>
      </c>
      <c r="F23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4</v>
      </c>
      <c r="G23">
        <f>Tabela13[[#This Row],[Quantidade Comprada]]+Tabela13[[#This Row],[Quantidade Inicial]]-Tabela13[[#This Row],[Quantidade Vendida]]</f>
        <v>96</v>
      </c>
      <c r="H23" t="str">
        <f>IF(Tabela13[[#This Row],[Quantidade Atual]]&lt;50,IF(Tabela13[[#This Row],[Quantidade Atual]]&lt;21,"COMPRAR","ATENÇÃO"),"OK")</f>
        <v>OK</v>
      </c>
    </row>
    <row r="24" spans="2:8" x14ac:dyDescent="0.25">
      <c r="B24" t="s">
        <v>28</v>
      </c>
      <c r="C24" s="15">
        <f>IFERROR(INDEX(Tabela8[],MATCH(Tabela13[[#This Row],[Produto]],Tabela8[Mercadoria],0),1),"")</f>
        <v>42189</v>
      </c>
      <c r="D24">
        <v>0</v>
      </c>
      <c r="E24">
        <f>SUMIF(Tabela8[Mercadoria],Tabela13[[#This Row],[Produto]],Tabela8[Quantidade])</f>
        <v>200</v>
      </c>
      <c r="F24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2</v>
      </c>
      <c r="G24">
        <f>Tabela13[[#This Row],[Quantidade Comprada]]+Tabela13[[#This Row],[Quantidade Inicial]]-Tabela13[[#This Row],[Quantidade Vendida]]</f>
        <v>198</v>
      </c>
      <c r="H24" t="str">
        <f>IF(Tabela13[[#This Row],[Quantidade Atual]]&lt;50,IF(Tabela13[[#This Row],[Quantidade Atual]]&lt;21,"COMPRAR","ATENÇÃO"),"OK")</f>
        <v>OK</v>
      </c>
    </row>
    <row r="25" spans="2:8" x14ac:dyDescent="0.25">
      <c r="B25" t="s">
        <v>21</v>
      </c>
      <c r="C25" s="15" t="str">
        <f>IFERROR(INDEX(Tabela8[],MATCH(Tabela13[[#This Row],[Produto]],Tabela8[Mercadoria],0),1),"")</f>
        <v/>
      </c>
      <c r="D25">
        <v>30</v>
      </c>
      <c r="E25">
        <f>SUMIF(Tabela8[Mercadoria],Tabela13[[#This Row],[Produto]],Tabela8[Quantidade])</f>
        <v>0</v>
      </c>
      <c r="F25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0</v>
      </c>
      <c r="G25">
        <f>Tabela13[[#This Row],[Quantidade Comprada]]+Tabela13[[#This Row],[Quantidade Inicial]]-Tabela13[[#This Row],[Quantidade Vendida]]</f>
        <v>30</v>
      </c>
      <c r="H25" t="str">
        <f>IF(Tabela13[[#This Row],[Quantidade Atual]]&lt;50,IF(Tabela13[[#This Row],[Quantidade Atual]]&lt;21,"COMPRAR","ATENÇÃO"),"OK")</f>
        <v>ATENÇÃO</v>
      </c>
    </row>
    <row r="26" spans="2:8" x14ac:dyDescent="0.25">
      <c r="B26" t="s">
        <v>30</v>
      </c>
      <c r="C26" s="15" t="str">
        <f>IFERROR(INDEX(Tabela8[],MATCH(Tabela13[[#This Row],[Produto]],Tabela8[Mercadoria],0),1),"")</f>
        <v/>
      </c>
      <c r="D26">
        <v>50</v>
      </c>
      <c r="E26">
        <f>SUMIF(Tabela8[Mercadoria],Tabela13[[#This Row],[Produto]],Tabela8[Quantidade])</f>
        <v>0</v>
      </c>
      <c r="F26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2</v>
      </c>
      <c r="G26">
        <f>Tabela13[[#This Row],[Quantidade Comprada]]+Tabela13[[#This Row],[Quantidade Inicial]]-Tabela13[[#This Row],[Quantidade Vendida]]</f>
        <v>48</v>
      </c>
      <c r="H26" t="str">
        <f>IF(Tabela13[[#This Row],[Quantidade Atual]]&lt;50,IF(Tabela13[[#This Row],[Quantidade Atual]]&lt;21,"COMPRAR","ATENÇÃO"),"OK")</f>
        <v>ATENÇÃO</v>
      </c>
    </row>
    <row r="27" spans="2:8" x14ac:dyDescent="0.25">
      <c r="B27" t="s">
        <v>27</v>
      </c>
      <c r="C27" s="15">
        <f>IFERROR(INDEX(Tabela8[],MATCH(Tabela13[[#This Row],[Produto]],Tabela8[Mercadoria],0),1),"")</f>
        <v>42187</v>
      </c>
      <c r="D27">
        <v>0</v>
      </c>
      <c r="E27">
        <f>SUMIF(Tabela8[Mercadoria],Tabela13[[#This Row],[Produto]],Tabela8[Quantidade])</f>
        <v>80</v>
      </c>
      <c r="F27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0</v>
      </c>
      <c r="G27">
        <f>Tabela13[[#This Row],[Quantidade Comprada]]+Tabela13[[#This Row],[Quantidade Inicial]]-Tabela13[[#This Row],[Quantidade Vendida]]</f>
        <v>80</v>
      </c>
      <c r="H27" t="str">
        <f>IF(Tabela13[[#This Row],[Quantidade Atual]]&lt;50,IF(Tabela13[[#This Row],[Quantidade Atual]]&lt;21,"COMPRAR","ATENÇÃO"),"OK")</f>
        <v>OK</v>
      </c>
    </row>
    <row r="28" spans="2:8" x14ac:dyDescent="0.25">
      <c r="B28" t="s">
        <v>33</v>
      </c>
      <c r="C28" s="15" t="str">
        <f>IFERROR(INDEX(Tabela8[],MATCH(Tabela13[[#This Row],[Produto]],Tabela8[Mercadoria],0),1),"")</f>
        <v/>
      </c>
      <c r="D28">
        <v>20</v>
      </c>
      <c r="E28">
        <f>SUMIF(Tabela8[Mercadoria],Tabela13[[#This Row],[Produto]],Tabela8[Quantidade])</f>
        <v>0</v>
      </c>
      <c r="F28">
        <f>SUMIF(Tabela15[Produto],Tabela13[[#This Row],[Produto]],Tabela15[Quantidade])+SUMIF(Tabela1517[Produto],Tabela13[[#This Row],[Produto]],Tabela1517[Quantidade])+SUMIF(Tabela1518[Produto],Tabela13[[#This Row],[Produto]],Tabela1518[Quantidade])+SUMIF(Tabela1519[Produto],Tabela13[[#This Row],[Produto]],Tabela1519[Quantidade])+SUMIF(Tabela1520[Produto],Tabela13[[#This Row],[Produto]],Tabela1520[Quantidade])</f>
        <v>1</v>
      </c>
      <c r="G28">
        <f>Tabela13[[#This Row],[Quantidade Comprada]]+Tabela13[[#This Row],[Quantidade Inicial]]-Tabela13[[#This Row],[Quantidade Vendida]]</f>
        <v>19</v>
      </c>
      <c r="H28" t="str">
        <f>IF(Tabela13[[#This Row],[Quantidade Atual]]&lt;50,IF(Tabela13[[#This Row],[Quantidade Atual]]&lt;21,"COMPRAR","ATENÇÃO"),"OK")</f>
        <v>COMPRAR</v>
      </c>
    </row>
  </sheetData>
  <conditionalFormatting sqref="H5:H28">
    <cfRule type="containsText" dxfId="5" priority="1" operator="containsText" text="ATENÇÃO">
      <formula>NOT(ISERROR(SEARCH("ATENÇÃO",H5)))</formula>
    </cfRule>
    <cfRule type="containsText" dxfId="4" priority="2" operator="containsText" text="COMPRAR">
      <formula>NOT(ISERROR(SEARCH("COMPRAR",H5)))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2:U55"/>
  <sheetViews>
    <sheetView showGridLines="0" zoomScale="85" zoomScaleNormal="85" workbookViewId="0">
      <selection activeCell="I59" sqref="I59"/>
    </sheetView>
  </sheetViews>
  <sheetFormatPr defaultRowHeight="15" x14ac:dyDescent="0.25"/>
  <cols>
    <col min="2" max="2" width="4.28515625" customWidth="1"/>
    <col min="3" max="3" width="13.7109375" customWidth="1"/>
    <col min="4" max="4" width="32.7109375" bestFit="1" customWidth="1"/>
    <col min="5" max="5" width="24.42578125" bestFit="1" customWidth="1"/>
    <col min="6" max="6" width="7" customWidth="1"/>
    <col min="7" max="7" width="21.140625" bestFit="1" customWidth="1"/>
    <col min="8" max="8" width="24.28515625" customWidth="1"/>
    <col min="9" max="11" width="24.7109375" customWidth="1"/>
  </cols>
  <sheetData>
    <row r="2" spans="1:21" s="4" customFormat="1" ht="27.95" customHeight="1" x14ac:dyDescent="0.25">
      <c r="A2" s="34"/>
      <c r="B2" s="35" t="s">
        <v>125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</row>
    <row r="3" spans="1:21" ht="31.5" customHeight="1" x14ac:dyDescent="0.25"/>
    <row r="4" spans="1:21" ht="21.75" thickBot="1" x14ac:dyDescent="0.4">
      <c r="K4" s="44" t="s">
        <v>131</v>
      </c>
    </row>
    <row r="5" spans="1:21" ht="21.75" thickTop="1" x14ac:dyDescent="0.35">
      <c r="K5" s="45"/>
    </row>
    <row r="6" spans="1:21" x14ac:dyDescent="0.25">
      <c r="B6" s="46"/>
      <c r="C6" s="47"/>
      <c r="D6" s="47"/>
      <c r="E6" s="47"/>
      <c r="F6" s="47"/>
      <c r="G6" s="47"/>
      <c r="H6" s="47"/>
      <c r="I6" s="47"/>
      <c r="J6" s="47"/>
      <c r="K6" s="48"/>
    </row>
    <row r="7" spans="1:21" x14ac:dyDescent="0.25">
      <c r="B7" s="49"/>
      <c r="C7" s="50"/>
      <c r="D7" s="50"/>
      <c r="G7" s="50"/>
      <c r="H7" s="50"/>
      <c r="I7" s="50"/>
      <c r="J7" s="50"/>
      <c r="K7" s="51"/>
    </row>
    <row r="8" spans="1:21" x14ac:dyDescent="0.25">
      <c r="B8" s="49"/>
      <c r="C8" s="50"/>
      <c r="D8" s="50"/>
      <c r="G8" s="50"/>
      <c r="H8" s="50"/>
      <c r="I8" s="50"/>
      <c r="J8" s="50"/>
      <c r="K8" s="51"/>
    </row>
    <row r="9" spans="1:21" ht="18.75" x14ac:dyDescent="0.3">
      <c r="B9" s="49"/>
      <c r="C9" s="50"/>
      <c r="D9" s="56" t="s">
        <v>126</v>
      </c>
      <c r="E9" s="57">
        <f>'Semana 1'!M31</f>
        <v>670.84630000000016</v>
      </c>
      <c r="G9" s="50"/>
      <c r="H9" s="50"/>
      <c r="I9" s="50"/>
      <c r="J9" s="50"/>
      <c r="K9" s="51"/>
    </row>
    <row r="10" spans="1:21" ht="18.75" x14ac:dyDescent="0.3">
      <c r="B10" s="49"/>
      <c r="C10" s="50"/>
      <c r="D10" s="58" t="s">
        <v>127</v>
      </c>
      <c r="E10" s="59">
        <f>'Semana 2'!M13</f>
        <v>322.11999999999995</v>
      </c>
      <c r="G10" s="50"/>
      <c r="H10" s="50"/>
      <c r="I10" s="50"/>
      <c r="J10" s="50"/>
      <c r="K10" s="51"/>
    </row>
    <row r="11" spans="1:21" ht="18.75" x14ac:dyDescent="0.3">
      <c r="B11" s="49"/>
      <c r="C11" s="50"/>
      <c r="D11" s="58" t="s">
        <v>128</v>
      </c>
      <c r="E11" s="59">
        <f>'Semana 3'!M10</f>
        <v>42.390000000000008</v>
      </c>
      <c r="G11" s="50"/>
      <c r="H11" s="50"/>
      <c r="I11" s="50"/>
      <c r="J11" s="50"/>
      <c r="K11" s="51"/>
    </row>
    <row r="12" spans="1:21" ht="18.75" x14ac:dyDescent="0.3">
      <c r="B12" s="49"/>
      <c r="C12" s="50"/>
      <c r="D12" s="58" t="s">
        <v>129</v>
      </c>
      <c r="E12" s="59">
        <f>'Semana 4'!M7</f>
        <v>26.450000000000003</v>
      </c>
      <c r="G12" s="62"/>
      <c r="H12" s="50"/>
      <c r="I12" s="50"/>
      <c r="J12" s="50"/>
      <c r="K12" s="51"/>
    </row>
    <row r="13" spans="1:21" ht="18.75" x14ac:dyDescent="0.3">
      <c r="B13" s="49"/>
      <c r="C13" s="50"/>
      <c r="D13" s="60" t="s">
        <v>130</v>
      </c>
      <c r="E13" s="61">
        <f>'Semana 5'!M9</f>
        <v>33.130000000000003</v>
      </c>
      <c r="G13" s="50"/>
      <c r="H13" s="50"/>
      <c r="I13" s="50"/>
      <c r="J13" s="50"/>
      <c r="K13" s="51"/>
    </row>
    <row r="14" spans="1:21" x14ac:dyDescent="0.25">
      <c r="B14" s="49"/>
      <c r="C14" s="50"/>
      <c r="D14" s="55"/>
      <c r="E14" s="55"/>
      <c r="G14" s="50"/>
      <c r="H14" s="50"/>
      <c r="I14" s="50"/>
      <c r="J14" s="50"/>
      <c r="K14" s="51"/>
    </row>
    <row r="15" spans="1:21" x14ac:dyDescent="0.25">
      <c r="B15" s="49"/>
      <c r="C15" s="50"/>
      <c r="D15" s="55"/>
      <c r="E15" s="55"/>
      <c r="G15" s="50"/>
      <c r="H15" s="50"/>
      <c r="I15" s="50"/>
      <c r="J15" s="50"/>
      <c r="K15" s="51"/>
    </row>
    <row r="16" spans="1:21" x14ac:dyDescent="0.25">
      <c r="B16" s="49"/>
      <c r="C16" s="50"/>
      <c r="D16" s="55"/>
      <c r="E16" s="55"/>
      <c r="G16" s="50"/>
      <c r="H16" s="50"/>
      <c r="I16" s="50"/>
      <c r="J16" s="50"/>
      <c r="K16" s="51"/>
    </row>
    <row r="17" spans="2:11" ht="21" x14ac:dyDescent="0.35">
      <c r="B17" s="49"/>
      <c r="C17" s="50"/>
      <c r="D17" s="45" t="str">
        <f>"Total de Vendas de "&amp;K4</f>
        <v>Total de Vendas de Julho</v>
      </c>
      <c r="E17" s="71">
        <f>SUM(E9:E13)</f>
        <v>1094.9363000000003</v>
      </c>
      <c r="G17" s="50"/>
      <c r="H17" s="50"/>
      <c r="I17" s="50"/>
      <c r="J17" s="50"/>
      <c r="K17" s="51"/>
    </row>
    <row r="18" spans="2:11" x14ac:dyDescent="0.25">
      <c r="B18" s="49"/>
      <c r="C18" s="50"/>
      <c r="D18" s="50"/>
      <c r="E18" s="50"/>
      <c r="F18" s="50"/>
      <c r="G18" s="50"/>
      <c r="H18" s="50"/>
      <c r="I18" s="50"/>
      <c r="J18" s="50"/>
      <c r="K18" s="51"/>
    </row>
    <row r="19" spans="2:11" x14ac:dyDescent="0.25">
      <c r="B19" s="49"/>
      <c r="C19" s="50"/>
      <c r="D19" s="50"/>
      <c r="E19" s="50"/>
      <c r="F19" s="50"/>
      <c r="G19" s="50"/>
      <c r="H19" s="50"/>
      <c r="I19" s="50"/>
      <c r="J19" s="50"/>
      <c r="K19" s="51"/>
    </row>
    <row r="20" spans="2:11" x14ac:dyDescent="0.25">
      <c r="B20" s="49"/>
      <c r="C20" s="50"/>
      <c r="D20" s="50"/>
      <c r="E20" s="50"/>
      <c r="F20" s="50"/>
      <c r="G20" s="50"/>
      <c r="H20" s="50"/>
      <c r="I20" s="50"/>
      <c r="J20" s="50"/>
      <c r="K20" s="51"/>
    </row>
    <row r="21" spans="2:11" x14ac:dyDescent="0.25">
      <c r="B21" s="52"/>
      <c r="C21" s="53"/>
      <c r="D21" s="53"/>
      <c r="E21" s="53"/>
      <c r="F21" s="53"/>
      <c r="G21" s="53"/>
      <c r="H21" s="53"/>
      <c r="I21" s="53"/>
      <c r="J21" s="53"/>
      <c r="K21" s="54"/>
    </row>
    <row r="24" spans="2:11" x14ac:dyDescent="0.25">
      <c r="B24" s="63"/>
      <c r="C24" s="64"/>
      <c r="D24" s="64"/>
      <c r="E24" s="64"/>
      <c r="F24" s="64"/>
      <c r="G24" s="64"/>
      <c r="H24" s="64"/>
      <c r="I24" s="64"/>
      <c r="J24" s="64"/>
      <c r="K24" s="65"/>
    </row>
    <row r="25" spans="2:11" x14ac:dyDescent="0.25">
      <c r="B25" s="66"/>
      <c r="C25" s="50"/>
      <c r="D25" s="50"/>
      <c r="E25" s="50"/>
      <c r="F25" s="50"/>
      <c r="G25" s="50"/>
      <c r="H25" s="50"/>
      <c r="I25" s="50"/>
      <c r="J25" s="50"/>
      <c r="K25" s="67"/>
    </row>
    <row r="26" spans="2:11" ht="18.75" x14ac:dyDescent="0.3">
      <c r="B26" s="66"/>
      <c r="C26" s="50"/>
      <c r="D26" s="56" t="s">
        <v>132</v>
      </c>
      <c r="E26" s="74">
        <f>SUM(COUNTIF(Tabela15[Valor da Entrega],"&gt;0"),COUNTIF(Tabela1517[Valor da Entrega],"&gt;0"),COUNTIF(Tabela1518[Valor da Entrega],"&gt;0"),COUNTIF(Tabela1519[Valor da Entrega],"&gt;0"),COUNTIF(Tabela1520[Valor da Entrega],"&gt;0"))/SUM('Semana 1'!M33,'Semana 2'!M15,'Semana 3'!M12,'Semana 4'!M9,'Semana 5'!M11)</f>
        <v>0.56000000000000005</v>
      </c>
      <c r="F26" s="50"/>
      <c r="G26" s="50"/>
      <c r="H26" s="50"/>
      <c r="I26" s="50"/>
      <c r="J26" s="50"/>
      <c r="K26" s="67"/>
    </row>
    <row r="27" spans="2:11" ht="18.75" x14ac:dyDescent="0.3">
      <c r="B27" s="66"/>
      <c r="C27" s="50"/>
      <c r="D27" s="58" t="s">
        <v>133</v>
      </c>
      <c r="E27" s="75">
        <f>SUMIF(Tabela15[Valor da Entrega],"&gt;0",Tabela15[Valor da Entrega])+SUMIF(Tabela1517[Valor da Entrega],"&gt;0",Tabela1517[Total para Cliente])+SUMIF(Tabela1518[Valor da Entrega],"&gt;0",Tabela1518[Total para Cliente])+SUMIF(Tabela1519[Valor da Entrega],"&gt;0",Tabela1519[Total para Cliente])+SUMIF(Tabela1520[Valor da Entrega],"&gt;0",Tabela1520[Total para Cliente])</f>
        <v>342.90999999999997</v>
      </c>
      <c r="F27" s="50"/>
      <c r="G27" s="50"/>
      <c r="H27" s="50"/>
      <c r="I27" s="50"/>
      <c r="J27" s="50"/>
      <c r="K27" s="67"/>
    </row>
    <row r="28" spans="2:11" ht="18.75" x14ac:dyDescent="0.3">
      <c r="B28" s="66"/>
      <c r="C28" s="50"/>
      <c r="D28" s="60" t="s">
        <v>134</v>
      </c>
      <c r="E28" s="76">
        <f>SUM('Semana 1'!M32,'Semana 2'!M14,'Semana 3'!M11,'Semana 4'!M8,'Semana 5'!M10)</f>
        <v>95.5</v>
      </c>
      <c r="F28" s="50"/>
      <c r="G28" s="50"/>
      <c r="H28" s="50"/>
      <c r="I28" s="50"/>
      <c r="J28" s="50"/>
      <c r="K28" s="67"/>
    </row>
    <row r="29" spans="2:11" ht="18.75" x14ac:dyDescent="0.3">
      <c r="B29" s="66"/>
      <c r="C29" s="50"/>
      <c r="D29" s="72"/>
      <c r="E29" s="73"/>
      <c r="F29" s="50"/>
      <c r="G29" s="50"/>
      <c r="H29" s="50"/>
      <c r="I29" s="50"/>
      <c r="J29" s="50"/>
      <c r="K29" s="67"/>
    </row>
    <row r="30" spans="2:11" ht="18.75" x14ac:dyDescent="0.3">
      <c r="B30" s="66"/>
      <c r="C30" s="50"/>
      <c r="D30" s="72"/>
      <c r="E30" s="73"/>
      <c r="F30" s="50"/>
      <c r="G30" s="50"/>
      <c r="H30" s="50"/>
      <c r="I30" s="50"/>
      <c r="J30" s="50"/>
      <c r="K30" s="67"/>
    </row>
    <row r="31" spans="2:11" x14ac:dyDescent="0.25">
      <c r="B31" s="66"/>
      <c r="C31" s="50"/>
      <c r="D31" s="50"/>
      <c r="E31" s="50"/>
      <c r="F31" s="50"/>
      <c r="G31" s="50"/>
      <c r="H31" s="50"/>
      <c r="I31" s="50"/>
      <c r="J31" s="50"/>
      <c r="K31" s="67"/>
    </row>
    <row r="32" spans="2:11" x14ac:dyDescent="0.25">
      <c r="B32" s="66"/>
      <c r="C32" s="50"/>
      <c r="E32" s="50"/>
      <c r="F32" s="50"/>
      <c r="G32" s="50"/>
      <c r="H32" s="50"/>
      <c r="I32" s="50"/>
      <c r="J32" s="50"/>
      <c r="K32" s="67"/>
    </row>
    <row r="33" spans="2:11" ht="21" x14ac:dyDescent="0.35">
      <c r="B33" s="66"/>
      <c r="C33" s="50"/>
      <c r="D33" s="45" t="s">
        <v>123</v>
      </c>
      <c r="E33" s="71">
        <f>SUM('Semana 1'!M31,'Semana 2'!M13,'Semana 3'!M10,'Semana 4'!M7,'Semana 5'!M9)/SUM('Semana 1'!M33,'Semana 2'!M15,'Semana 3'!M12,'Semana 4'!M9,'Semana 5'!M9)</f>
        <v>19.860988572465086</v>
      </c>
      <c r="F33" s="50"/>
      <c r="G33" s="50"/>
      <c r="H33" s="50"/>
      <c r="I33" s="50"/>
      <c r="J33" s="50"/>
      <c r="K33" s="67"/>
    </row>
    <row r="34" spans="2:11" x14ac:dyDescent="0.25">
      <c r="B34" s="66"/>
      <c r="C34" s="50"/>
      <c r="D34" s="50"/>
      <c r="E34" s="50"/>
      <c r="F34" s="50"/>
      <c r="G34" s="50"/>
      <c r="H34" s="50"/>
      <c r="I34" s="50"/>
      <c r="J34" s="50"/>
      <c r="K34" s="67"/>
    </row>
    <row r="35" spans="2:11" x14ac:dyDescent="0.25">
      <c r="B35" s="66"/>
      <c r="C35" s="50"/>
      <c r="D35" s="50"/>
      <c r="E35" s="50"/>
      <c r="F35" s="50"/>
      <c r="G35" s="50"/>
      <c r="H35" s="50"/>
      <c r="I35" s="50"/>
      <c r="J35" s="50"/>
      <c r="K35" s="67"/>
    </row>
    <row r="36" spans="2:11" x14ac:dyDescent="0.25">
      <c r="B36" s="68"/>
      <c r="C36" s="69"/>
      <c r="D36" s="69"/>
      <c r="E36" s="69"/>
      <c r="F36" s="69"/>
      <c r="G36" s="69"/>
      <c r="H36" s="69"/>
      <c r="I36" s="69"/>
      <c r="J36" s="69"/>
      <c r="K36" s="70"/>
    </row>
    <row r="39" spans="2:11" x14ac:dyDescent="0.25">
      <c r="B39" s="78"/>
      <c r="C39" s="79"/>
      <c r="D39" s="79"/>
      <c r="E39" s="79"/>
      <c r="F39" s="79"/>
      <c r="G39" s="79"/>
      <c r="H39" s="79"/>
      <c r="I39" s="79"/>
      <c r="J39" s="79"/>
      <c r="K39" s="80"/>
    </row>
    <row r="40" spans="2:11" x14ac:dyDescent="0.25">
      <c r="B40" s="81"/>
      <c r="C40" s="82"/>
      <c r="D40" s="82"/>
      <c r="E40" s="82"/>
      <c r="F40" s="82"/>
      <c r="G40" s="82"/>
      <c r="H40" s="82"/>
      <c r="I40" s="82"/>
      <c r="J40" s="82"/>
      <c r="K40" s="83"/>
    </row>
    <row r="41" spans="2:11" ht="21" x14ac:dyDescent="0.35">
      <c r="B41" s="81"/>
      <c r="C41" s="82"/>
      <c r="D41" s="45" t="s">
        <v>124</v>
      </c>
      <c r="E41" s="82"/>
      <c r="F41" s="82"/>
      <c r="G41" s="82"/>
      <c r="H41" s="82"/>
      <c r="I41" s="82"/>
      <c r="J41" s="82"/>
      <c r="K41" s="83"/>
    </row>
    <row r="42" spans="2:11" ht="18.75" x14ac:dyDescent="0.3">
      <c r="B42" s="81"/>
      <c r="C42" s="82"/>
      <c r="D42" s="72"/>
      <c r="E42" s="82"/>
      <c r="F42" s="82"/>
      <c r="G42" s="82"/>
      <c r="H42" s="82"/>
      <c r="I42" s="82"/>
      <c r="J42" s="82"/>
      <c r="K42" s="83"/>
    </row>
    <row r="43" spans="2:11" ht="18.75" x14ac:dyDescent="0.3">
      <c r="B43" s="81"/>
      <c r="C43" s="82"/>
      <c r="D43" s="72"/>
      <c r="E43" s="56" t="s">
        <v>135</v>
      </c>
      <c r="F43" s="82"/>
      <c r="G43" s="82"/>
      <c r="H43" s="82"/>
      <c r="I43" s="82"/>
      <c r="J43" s="82"/>
      <c r="K43" s="83"/>
    </row>
    <row r="44" spans="2:11" ht="18.75" x14ac:dyDescent="0.3">
      <c r="B44" s="81"/>
      <c r="C44" s="82"/>
      <c r="D44" s="87" t="s">
        <v>113</v>
      </c>
      <c r="E44" s="88">
        <f>COUNTIFS(Tabela15[Entrega],Vendas!D44,Tabela15[Total para Cliente],"&gt;0")+COUNTIFS(Tabela1517[Entrega],Vendas!D44,Tabela1517[Total para Cliente],"&gt;0")+COUNTIFS(Tabela1518[Entrega],Vendas!D44,Tabela1518[Total para Cliente],"&gt;0")+COUNTIFS(Tabela1519[Entrega],Vendas!D44,Tabela1519[Total para Cliente],"&gt;0")+COUNTIFS(Tabela1520[Entrega],Vendas!D44,Tabela1520[Total para Cliente],"&gt;0")</f>
        <v>11</v>
      </c>
      <c r="G44" s="82"/>
      <c r="H44" s="82"/>
      <c r="I44" s="82"/>
      <c r="J44" s="82"/>
      <c r="K44" s="83"/>
    </row>
    <row r="45" spans="2:11" ht="18.75" x14ac:dyDescent="0.3">
      <c r="B45" s="81"/>
      <c r="C45" s="82"/>
      <c r="D45" s="88" t="s">
        <v>112</v>
      </c>
      <c r="E45" s="88">
        <f>COUNTIFS(Tabela15[Entrega],Vendas!D45,Tabela15[Total para Cliente],"&gt;0")+COUNTIFS(Tabela1517[Entrega],Vendas!D45,Tabela1517[Total para Cliente],"&gt;0")+COUNTIFS(Tabela1518[Entrega],Vendas!D45,Tabela1518[Total para Cliente],"&gt;0")+COUNTIFS(Tabela1519[Entrega],Vendas!D45,Tabela1519[Total para Cliente],"&gt;0")+COUNTIFS(Tabela1520[Entrega],Vendas!D45,Tabela1520[Total para Cliente],"&gt;0")</f>
        <v>0</v>
      </c>
      <c r="G45" s="82"/>
      <c r="H45" s="82"/>
      <c r="I45" s="82"/>
      <c r="J45" s="82"/>
      <c r="K45" s="83"/>
    </row>
    <row r="46" spans="2:11" ht="18.75" x14ac:dyDescent="0.3">
      <c r="B46" s="81"/>
      <c r="C46" s="82"/>
      <c r="D46" s="88" t="s">
        <v>114</v>
      </c>
      <c r="E46" s="88">
        <f>COUNTIFS(Tabela15[Entrega],Vendas!D46,Tabela15[Total para Cliente],"&gt;0")+COUNTIFS(Tabela1517[Entrega],Vendas!D46,Tabela1517[Total para Cliente],"&gt;0")+COUNTIFS(Tabela1518[Entrega],Vendas!D46,Tabela1518[Total para Cliente],"&gt;0")+COUNTIFS(Tabela1519[Entrega],Vendas!D46,Tabela1519[Total para Cliente],"&gt;0")+COUNTIFS(Tabela1520[Entrega],Vendas!D46,Tabela1520[Total para Cliente],"&gt;0")</f>
        <v>5</v>
      </c>
      <c r="G46" s="82"/>
      <c r="H46" s="82"/>
      <c r="I46" s="82"/>
      <c r="J46" s="82"/>
      <c r="K46" s="83"/>
    </row>
    <row r="47" spans="2:11" ht="18.75" x14ac:dyDescent="0.3">
      <c r="B47" s="81"/>
      <c r="C47" s="82"/>
      <c r="D47" s="89" t="s">
        <v>115</v>
      </c>
      <c r="E47" s="88">
        <f>COUNTIFS(Tabela15[Entrega],Vendas!D47,Tabela15[Total para Cliente],"&gt;0")+COUNTIFS(Tabela1517[Entrega],Vendas!D47,Tabela1517[Total para Cliente],"&gt;0")+COUNTIFS(Tabela1518[Entrega],Vendas!D47,Tabela1518[Total para Cliente],"&gt;0")+COUNTIFS(Tabela1519[Entrega],Vendas!D47,Tabela1519[Total para Cliente],"&gt;0")+COUNTIFS(Tabela1520[Entrega],Vendas!D47,Tabela1520[Total para Cliente],"&gt;0")</f>
        <v>3</v>
      </c>
      <c r="G47" s="82"/>
      <c r="H47" s="82"/>
      <c r="I47" s="82"/>
      <c r="J47" s="82"/>
      <c r="K47" s="83"/>
    </row>
    <row r="48" spans="2:11" ht="18.75" x14ac:dyDescent="0.3">
      <c r="B48" s="81"/>
      <c r="C48" s="82"/>
      <c r="D48" s="89" t="s">
        <v>116</v>
      </c>
      <c r="E48" s="89">
        <f>COUNTIFS(Tabela15[Entrega],Vendas!D48,Tabela15[Total para Cliente],"&gt;0")+COUNTIFS(Tabela1517[Entrega],Vendas!D48,Tabela1517[Total para Cliente],"&gt;0")+COUNTIFS(Tabela1518[Entrega],Vendas!D48,Tabela1518[Total para Cliente],"&gt;0")+COUNTIFS(Tabela1519[Entrega],Vendas!D48,Tabela1519[Total para Cliente],"&gt;0")+COUNTIFS(Tabela1520[Entrega],Vendas!D48,Tabela1520[Total para Cliente],"&gt;0")</f>
        <v>6</v>
      </c>
      <c r="F48" s="82"/>
      <c r="G48" s="82"/>
      <c r="H48" s="82"/>
      <c r="I48" s="82"/>
      <c r="J48" s="82"/>
      <c r="K48" s="83"/>
    </row>
    <row r="49" spans="2:11" x14ac:dyDescent="0.25">
      <c r="B49" s="81"/>
      <c r="C49" s="82"/>
      <c r="D49" s="82"/>
      <c r="E49" s="82"/>
      <c r="F49" s="82"/>
      <c r="G49" s="82"/>
      <c r="H49" s="82"/>
      <c r="I49" s="82"/>
      <c r="J49" s="82"/>
      <c r="K49" s="83"/>
    </row>
    <row r="50" spans="2:11" x14ac:dyDescent="0.25">
      <c r="B50" s="81"/>
      <c r="C50" s="82"/>
      <c r="D50" s="82"/>
      <c r="E50" s="82"/>
      <c r="F50" s="82"/>
      <c r="G50" s="82"/>
      <c r="H50" s="82"/>
      <c r="I50" s="82"/>
      <c r="J50" s="82"/>
      <c r="K50" s="83"/>
    </row>
    <row r="51" spans="2:11" x14ac:dyDescent="0.25">
      <c r="B51" s="81"/>
      <c r="C51" s="82"/>
      <c r="D51" s="82"/>
      <c r="E51" s="82"/>
      <c r="F51" s="82"/>
      <c r="G51" s="82"/>
      <c r="H51" s="82"/>
      <c r="I51" s="82"/>
      <c r="J51" s="82"/>
      <c r="K51" s="83"/>
    </row>
    <row r="52" spans="2:11" x14ac:dyDescent="0.25">
      <c r="B52" s="84"/>
      <c r="C52" s="85"/>
      <c r="D52" s="85"/>
      <c r="E52" s="85"/>
      <c r="F52" s="85"/>
      <c r="G52" s="85"/>
      <c r="H52" s="85"/>
      <c r="I52" s="85"/>
      <c r="J52" s="85"/>
      <c r="K52" s="86"/>
    </row>
    <row r="54" spans="2:11" ht="19.5" customHeight="1" x14ac:dyDescent="0.25">
      <c r="D54" s="43"/>
    </row>
    <row r="55" spans="2:11" ht="30" customHeight="1" x14ac:dyDescent="0.25"/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/>
  <dimension ref="A1:T26"/>
  <sheetViews>
    <sheetView showGridLines="0" zoomScaleNormal="100" workbookViewId="0">
      <selection activeCell="H3" sqref="H3"/>
    </sheetView>
  </sheetViews>
  <sheetFormatPr defaultRowHeight="15" x14ac:dyDescent="0.25"/>
  <cols>
    <col min="2" max="2" width="26.28515625" bestFit="1" customWidth="1"/>
    <col min="3" max="5" width="35.42578125" customWidth="1"/>
  </cols>
  <sheetData>
    <row r="1" spans="1:20" x14ac:dyDescent="0.25">
      <c r="A1" t="s">
        <v>110</v>
      </c>
    </row>
    <row r="2" spans="1:20" s="4" customFormat="1" ht="27.95" customHeight="1" x14ac:dyDescent="0.25">
      <c r="A2" s="90"/>
      <c r="B2" s="91" t="s">
        <v>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</row>
    <row r="3" spans="1:20" ht="31.5" customHeight="1" x14ac:dyDescent="0.25"/>
    <row r="4" spans="1:20" ht="18.75" x14ac:dyDescent="0.3">
      <c r="C4" s="93" t="s">
        <v>136</v>
      </c>
      <c r="D4" s="93"/>
      <c r="E4" s="94">
        <f>SUM(E5:E6)</f>
        <v>1094.9363000000003</v>
      </c>
    </row>
    <row r="5" spans="1:20" ht="18.75" x14ac:dyDescent="0.3">
      <c r="C5" s="95"/>
      <c r="D5" s="96" t="s">
        <v>144</v>
      </c>
      <c r="E5" s="97">
        <f>Vendas!E17-Resultados!E6</f>
        <v>999.4363000000003</v>
      </c>
    </row>
    <row r="6" spans="1:20" ht="18.75" x14ac:dyDescent="0.3">
      <c r="C6" s="95"/>
      <c r="D6" s="95" t="s">
        <v>145</v>
      </c>
      <c r="E6" s="98">
        <f>Vendas!E28</f>
        <v>95.5</v>
      </c>
    </row>
    <row r="7" spans="1:20" ht="18.75" x14ac:dyDescent="0.3">
      <c r="C7" s="95"/>
      <c r="D7" s="95"/>
      <c r="E7" s="98"/>
    </row>
    <row r="8" spans="1:20" ht="18.75" x14ac:dyDescent="0.3">
      <c r="C8" s="95" t="s">
        <v>137</v>
      </c>
      <c r="D8" s="95"/>
      <c r="E8" s="98">
        <f>0.15*E4</f>
        <v>164.24044500000005</v>
      </c>
    </row>
    <row r="9" spans="1:20" ht="19.5" thickBot="1" x14ac:dyDescent="0.35">
      <c r="C9" s="99" t="s">
        <v>138</v>
      </c>
      <c r="D9" s="99"/>
      <c r="E9" s="100">
        <f>E4-E8</f>
        <v>930.69585500000028</v>
      </c>
    </row>
    <row r="10" spans="1:20" ht="19.5" thickTop="1" x14ac:dyDescent="0.3">
      <c r="C10" s="95"/>
      <c r="D10" s="95"/>
      <c r="E10" s="98"/>
    </row>
    <row r="11" spans="1:20" ht="18.75" x14ac:dyDescent="0.3">
      <c r="C11" s="93" t="s">
        <v>88</v>
      </c>
      <c r="D11" s="93"/>
      <c r="E11" s="94">
        <f>SUM(E12:E13)</f>
        <v>59406.921999999999</v>
      </c>
    </row>
    <row r="12" spans="1:20" ht="18.75" x14ac:dyDescent="0.3">
      <c r="C12" s="95"/>
      <c r="D12" s="96" t="s">
        <v>146</v>
      </c>
      <c r="E12" s="97">
        <f>'Compras Mercadorias'!I28</f>
        <v>13999.922</v>
      </c>
    </row>
    <row r="13" spans="1:20" ht="18.75" x14ac:dyDescent="0.3">
      <c r="C13" s="95"/>
      <c r="D13" s="95" t="s">
        <v>147</v>
      </c>
      <c r="E13" s="98">
        <f>'Despesas '!G31</f>
        <v>45407</v>
      </c>
    </row>
    <row r="14" spans="1:20" ht="19.5" thickBot="1" x14ac:dyDescent="0.35">
      <c r="C14" s="99"/>
      <c r="D14" s="99"/>
      <c r="E14" s="99"/>
    </row>
    <row r="15" spans="1:20" ht="20.25" thickTop="1" thickBot="1" x14ac:dyDescent="0.35">
      <c r="C15" s="101" t="s">
        <v>139</v>
      </c>
      <c r="D15" s="101"/>
      <c r="E15" s="102">
        <f>E4-E11</f>
        <v>-58311.985699999997</v>
      </c>
    </row>
    <row r="16" spans="1:20" ht="19.5" thickTop="1" x14ac:dyDescent="0.3">
      <c r="C16" s="95"/>
      <c r="D16" s="95"/>
      <c r="E16" s="98"/>
    </row>
    <row r="17" spans="3:5" ht="18.75" x14ac:dyDescent="0.3">
      <c r="C17" s="95" t="s">
        <v>8</v>
      </c>
      <c r="D17" s="95"/>
      <c r="E17" s="98">
        <f>Investimentos!E5</f>
        <v>400000</v>
      </c>
    </row>
    <row r="18" spans="3:5" ht="18.75" x14ac:dyDescent="0.3">
      <c r="C18" s="95"/>
      <c r="D18" s="95"/>
      <c r="E18" s="98"/>
    </row>
    <row r="19" spans="3:5" ht="18.75" x14ac:dyDescent="0.3">
      <c r="C19" s="95" t="s">
        <v>140</v>
      </c>
      <c r="D19" s="95"/>
      <c r="E19" s="98">
        <v>300</v>
      </c>
    </row>
    <row r="20" spans="3:5" ht="18.75" x14ac:dyDescent="0.3">
      <c r="C20" s="95"/>
      <c r="D20" s="95"/>
      <c r="E20" s="98"/>
    </row>
    <row r="21" spans="3:5" ht="19.5" thickBot="1" x14ac:dyDescent="0.35">
      <c r="C21" s="103" t="s">
        <v>141</v>
      </c>
      <c r="D21" s="103"/>
      <c r="E21" s="104">
        <f>E15-E17-E19</f>
        <v>-458611.98570000002</v>
      </c>
    </row>
    <row r="22" spans="3:5" ht="19.5" thickTop="1" x14ac:dyDescent="0.3">
      <c r="C22" s="95"/>
      <c r="D22" s="95"/>
      <c r="E22" s="98"/>
    </row>
    <row r="23" spans="3:5" ht="18.75" x14ac:dyDescent="0.3">
      <c r="C23" s="95" t="s">
        <v>142</v>
      </c>
      <c r="D23" s="95"/>
      <c r="E23" s="98">
        <f>IF(E21&gt;1000,0.3*E21,0)</f>
        <v>0</v>
      </c>
    </row>
    <row r="24" spans="3:5" ht="18.75" x14ac:dyDescent="0.3">
      <c r="C24" s="95"/>
      <c r="D24" s="95"/>
      <c r="E24" s="98"/>
    </row>
    <row r="25" spans="3:5" ht="19.5" thickBot="1" x14ac:dyDescent="0.35">
      <c r="C25" s="103" t="s">
        <v>143</v>
      </c>
      <c r="D25" s="103"/>
      <c r="E25" s="104">
        <f>E21-E23</f>
        <v>-458611.98570000002</v>
      </c>
    </row>
    <row r="26" spans="3:5" ht="15.75" thickTop="1" x14ac:dyDescent="0.25"/>
  </sheetData>
  <conditionalFormatting sqref="E15 E21 E25">
    <cfRule type="cellIs" dxfId="3" priority="2" operator="lessThan">
      <formula>0</formula>
    </cfRule>
  </conditionalFormatting>
  <conditionalFormatting sqref="K2 E15 E21 E25"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landscape" horizontalDpi="360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547C7-F2CD-4859-A3B2-8EA660C1D401}">
  <sheetPr codeName="Planilha8"/>
  <dimension ref="A1:U33"/>
  <sheetViews>
    <sheetView showGridLines="0" tabSelected="1" zoomScaleNormal="100" workbookViewId="0">
      <selection activeCell="K3" sqref="K3"/>
    </sheetView>
  </sheetViews>
  <sheetFormatPr defaultRowHeight="15" x14ac:dyDescent="0.25"/>
  <cols>
    <col min="1" max="1" width="11.7109375" customWidth="1"/>
    <col min="2" max="2" width="23.7109375" bestFit="1" customWidth="1"/>
    <col min="3" max="3" width="10.7109375" bestFit="1" customWidth="1"/>
    <col min="4" max="4" width="15.7109375" bestFit="1" customWidth="1"/>
    <col min="5" max="5" width="10.140625" bestFit="1" customWidth="1"/>
    <col min="6" max="6" width="13.5703125" customWidth="1"/>
    <col min="7" max="7" width="15.7109375" customWidth="1"/>
    <col min="8" max="8" width="10.85546875" customWidth="1"/>
    <col min="9" max="10" width="11.42578125" customWidth="1"/>
    <col min="11" max="11" width="17.5703125" customWidth="1"/>
    <col min="12" max="12" width="10.5703125" bestFit="1" customWidth="1"/>
    <col min="13" max="13" width="18.7109375" customWidth="1"/>
  </cols>
  <sheetData>
    <row r="1" spans="1:21" x14ac:dyDescent="0.25">
      <c r="A1" t="s">
        <v>110</v>
      </c>
    </row>
    <row r="2" spans="1:21" s="4" customFormat="1" ht="27.95" customHeight="1" x14ac:dyDescent="0.25">
      <c r="A2" s="34"/>
      <c r="B2" s="35" t="s">
        <v>103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</row>
    <row r="3" spans="1:21" ht="31.5" customHeight="1" x14ac:dyDescent="0.25"/>
    <row r="4" spans="1:21" x14ac:dyDescent="0.25">
      <c r="B4" s="6" t="s">
        <v>104</v>
      </c>
      <c r="C4" s="6" t="s">
        <v>43</v>
      </c>
      <c r="D4" s="6" t="s">
        <v>96</v>
      </c>
      <c r="E4" s="6" t="s">
        <v>57</v>
      </c>
      <c r="F4" s="6" t="s">
        <v>58</v>
      </c>
      <c r="G4" s="6" t="s">
        <v>59</v>
      </c>
      <c r="H4" s="6" t="s">
        <v>105</v>
      </c>
      <c r="I4" s="6" t="s">
        <v>60</v>
      </c>
      <c r="J4" s="6" t="s">
        <v>106</v>
      </c>
      <c r="K4" s="6" t="s">
        <v>107</v>
      </c>
      <c r="L4" s="6" t="s">
        <v>108</v>
      </c>
      <c r="M4" s="6" t="s">
        <v>109</v>
      </c>
    </row>
    <row r="5" spans="1:21" x14ac:dyDescent="0.25">
      <c r="B5">
        <v>13</v>
      </c>
      <c r="C5" s="40">
        <v>42190</v>
      </c>
      <c r="D5" t="s">
        <v>31</v>
      </c>
      <c r="E5" t="str">
        <f>IFERROR(VLOOKUP(Tabela15[[#This Row],[Produto]],Calculos!$J$5:$M$33,4,FALSE),"")</f>
        <v>Pacote</v>
      </c>
      <c r="F5">
        <v>10</v>
      </c>
      <c r="G5" s="8">
        <f>IFERROR(VLOOKUP(Tabela15[[#This Row],[Produto]],Calculos!$J$5:$M$33,3,FALSE),0)</f>
        <v>1.1499999999999999</v>
      </c>
      <c r="H5" s="8">
        <f>IFERROR(Tabela15[[#This Row],[Quantidade]]*Tabela15[[#This Row],[Preço Unitário]],"")</f>
        <v>11.5</v>
      </c>
      <c r="I5" s="14"/>
      <c r="J5" s="6" t="s">
        <v>116</v>
      </c>
      <c r="K5" s="8">
        <f>IFERROR(IF(Tabela15[[#This Row],[Id da Venda]]=B6,0,VLOOKUP(Tabela15[[#This Row],[Entrega]],Calculos!$B$5:$C$9,2,0)),0)</f>
        <v>0</v>
      </c>
      <c r="L5" s="8">
        <f>Tabela15[[#This Row],[SubTotal]]*(1-Tabela15[[#This Row],[Desconto]])+Tabela15[[#This Row],[Valor da Entrega]]</f>
        <v>11.5</v>
      </c>
      <c r="M5" s="8">
        <f>IF(Tabela15[[#This Row],[Id da Venda]]=B6,0,SUMIF(Tabela15[Id da Venda],Tabela15[[#This Row],[Id da Venda]],Tabela15[Total]))</f>
        <v>0</v>
      </c>
    </row>
    <row r="6" spans="1:21" x14ac:dyDescent="0.25">
      <c r="B6">
        <v>13</v>
      </c>
      <c r="C6" s="40">
        <v>42190</v>
      </c>
      <c r="D6" t="s">
        <v>35</v>
      </c>
      <c r="E6" t="str">
        <f>IFERROR(VLOOKUP(Tabela15[[#This Row],[Produto]],Calculos!$J$5:$M$33,4,FALSE),"")</f>
        <v>Pacote</v>
      </c>
      <c r="F6">
        <v>1</v>
      </c>
      <c r="G6" s="8">
        <f>IFERROR(VLOOKUP(Tabela15[[#This Row],[Produto]],Calculos!$J$5:$M$33,3,FALSE),0)</f>
        <v>0.79</v>
      </c>
      <c r="H6" s="8">
        <f>IFERROR(Tabela15[[#This Row],[Quantidade]]*Tabela15[[#This Row],[Preço Unitário]],"")</f>
        <v>0.79</v>
      </c>
      <c r="I6" s="14">
        <v>0.03</v>
      </c>
      <c r="J6" s="6" t="s">
        <v>116</v>
      </c>
      <c r="K6" s="8">
        <f>IFERROR(IF(Tabela15[[#This Row],[Id da Venda]]=B7,0,VLOOKUP(Tabela15[[#This Row],[Entrega]],Calculos!$B$5:$C$9,2,0)),0)</f>
        <v>0</v>
      </c>
      <c r="L6" s="8">
        <f>Tabela15[[#This Row],[SubTotal]]*(1-Tabela15[[#This Row],[Desconto]])+Tabela15[[#This Row],[Valor da Entrega]]</f>
        <v>0.76629999999999998</v>
      </c>
      <c r="M6" s="8">
        <f>IF(Tabela15[[#This Row],[Id da Venda]]=B7,0,SUMIF(Tabela15[Id da Venda],Tabela15[[#This Row],[Id da Venda]],Tabela15[Total]))</f>
        <v>0</v>
      </c>
    </row>
    <row r="7" spans="1:21" x14ac:dyDescent="0.25">
      <c r="B7">
        <v>13</v>
      </c>
      <c r="C7" s="40">
        <v>42190</v>
      </c>
      <c r="D7" t="s">
        <v>23</v>
      </c>
      <c r="E7" t="str">
        <f>IFERROR(VLOOKUP(Tabela15[[#This Row],[Produto]],Calculos!$J$5:$M$33,4,FALSE),"")</f>
        <v>Kg</v>
      </c>
      <c r="F7">
        <v>10</v>
      </c>
      <c r="G7" s="8">
        <f>IFERROR(VLOOKUP(Tabela15[[#This Row],[Produto]],Calculos!$J$5:$M$33,3,FALSE),0)</f>
        <v>15.9</v>
      </c>
      <c r="H7" s="8">
        <f>IFERROR(Tabela15[[#This Row],[Quantidade]]*Tabela15[[#This Row],[Preço Unitário]],"")</f>
        <v>159</v>
      </c>
      <c r="I7" s="14"/>
      <c r="J7" s="6" t="s">
        <v>116</v>
      </c>
      <c r="K7" s="8">
        <f>IFERROR(IF(Tabela15[[#This Row],[Id da Venda]]=B8,0,VLOOKUP(Tabela15[[#This Row],[Entrega]],Calculos!$B$5:$C$9,2,0)),0)</f>
        <v>0</v>
      </c>
      <c r="L7" s="8">
        <f>Tabela15[[#This Row],[SubTotal]]*(1-Tabela15[[#This Row],[Desconto]])+Tabela15[[#This Row],[Valor da Entrega]]</f>
        <v>159</v>
      </c>
      <c r="M7" s="8">
        <f>IF(Tabela15[[#This Row],[Id da Venda]]=B8,0,SUMIF(Tabela15[Id da Venda],Tabela15[[#This Row],[Id da Venda]],Tabela15[Total]))</f>
        <v>0</v>
      </c>
    </row>
    <row r="8" spans="1:21" x14ac:dyDescent="0.25">
      <c r="B8">
        <v>13</v>
      </c>
      <c r="C8" s="40">
        <v>42190</v>
      </c>
      <c r="D8" t="s">
        <v>32</v>
      </c>
      <c r="E8" t="str">
        <f>IFERROR(VLOOKUP(Tabela15[[#This Row],[Produto]],Calculos!$J$5:$M$33,4,FALSE),"")</f>
        <v>Lata</v>
      </c>
      <c r="F8">
        <v>24</v>
      </c>
      <c r="G8" s="8">
        <f>IFERROR(VLOOKUP(Tabela15[[#This Row],[Produto]],Calculos!$J$5:$M$33,3,FALSE),0)</f>
        <v>2.19</v>
      </c>
      <c r="H8" s="8">
        <f>IFERROR(Tabela15[[#This Row],[Quantidade]]*Tabela15[[#This Row],[Preço Unitário]],"")</f>
        <v>52.56</v>
      </c>
      <c r="I8" s="14"/>
      <c r="J8" s="6" t="s">
        <v>116</v>
      </c>
      <c r="K8" s="8">
        <f>IFERROR(IF(Tabela15[[#This Row],[Id da Venda]]=B9,0,VLOOKUP(Tabela15[[#This Row],[Entrega]],Calculos!$B$5:$C$9,2,0)),0)</f>
        <v>6.5</v>
      </c>
      <c r="L8" s="8">
        <f>Tabela15[[#This Row],[SubTotal]]*(1-Tabela15[[#This Row],[Desconto]])+Tabela15[[#This Row],[Valor da Entrega]]</f>
        <v>59.06</v>
      </c>
      <c r="M8" s="8">
        <f>IF(Tabela15[[#This Row],[Id da Venda]]=B9,0,SUMIF(Tabela15[Id da Venda],Tabela15[[#This Row],[Id da Venda]],Tabela15[Total]))</f>
        <v>230.3263</v>
      </c>
    </row>
    <row r="9" spans="1:21" x14ac:dyDescent="0.25">
      <c r="B9">
        <v>12</v>
      </c>
      <c r="C9" s="40">
        <v>42189</v>
      </c>
      <c r="D9" t="s">
        <v>32</v>
      </c>
      <c r="E9" t="str">
        <f>IFERROR(VLOOKUP(Tabela15[[#This Row],[Produto]],Calculos!$J$5:$M$33,4,FALSE),"")</f>
        <v>Lata</v>
      </c>
      <c r="F9">
        <v>1</v>
      </c>
      <c r="G9" s="8">
        <f>IFERROR(VLOOKUP(Tabela15[[#This Row],[Produto]],Calculos!$J$5:$M$33,3,FALSE),0)</f>
        <v>2.19</v>
      </c>
      <c r="H9" s="8">
        <f>IFERROR(Tabela15[[#This Row],[Quantidade]]*Tabela15[[#This Row],[Preço Unitário]],"")</f>
        <v>2.19</v>
      </c>
      <c r="I9" s="14"/>
      <c r="J9" s="6" t="s">
        <v>113</v>
      </c>
      <c r="K9" s="8">
        <f>IFERROR(IF(Tabela15[[#This Row],[Id da Venda]]=B10,0,VLOOKUP(Tabela15[[#This Row],[Entrega]],Calculos!$B$5:$C$9,2,0)),0)</f>
        <v>0</v>
      </c>
      <c r="L9" s="8">
        <f>Tabela15[[#This Row],[SubTotal]]*(1-Tabela15[[#This Row],[Desconto]])+Tabela15[[#This Row],[Valor da Entrega]]</f>
        <v>2.19</v>
      </c>
      <c r="M9" s="8">
        <f>IF(Tabela15[[#This Row],[Id da Venda]]=B10,0,SUMIF(Tabela15[Id da Venda],Tabela15[[#This Row],[Id da Venda]],Tabela15[Total]))</f>
        <v>2.19</v>
      </c>
    </row>
    <row r="10" spans="1:21" x14ac:dyDescent="0.25">
      <c r="B10">
        <v>11</v>
      </c>
      <c r="C10" s="40">
        <v>42189</v>
      </c>
      <c r="D10" t="s">
        <v>32</v>
      </c>
      <c r="E10" t="str">
        <f>IFERROR(VLOOKUP(Tabela15[[#This Row],[Produto]],Calculos!$J$5:$M$33,4,FALSE),"")</f>
        <v>Lata</v>
      </c>
      <c r="F10">
        <v>10</v>
      </c>
      <c r="G10" s="8">
        <f>IFERROR(VLOOKUP(Tabela15[[#This Row],[Produto]],Calculos!$J$5:$M$33,3,FALSE),0)</f>
        <v>2.19</v>
      </c>
      <c r="H10" s="8">
        <f>IFERROR(Tabela15[[#This Row],[Quantidade]]*Tabela15[[#This Row],[Preço Unitário]],"")</f>
        <v>21.9</v>
      </c>
      <c r="I10" s="14"/>
      <c r="J10" s="6" t="s">
        <v>113</v>
      </c>
      <c r="K10" s="8">
        <f>IFERROR(IF(Tabela15[[#This Row],[Id da Venda]]=B11,0,VLOOKUP(Tabela15[[#This Row],[Entrega]],Calculos!$B$5:$C$9,2,0)),0)</f>
        <v>0</v>
      </c>
      <c r="L10" s="8">
        <f>Tabela15[[#This Row],[SubTotal]]*(1-Tabela15[[#This Row],[Desconto]])+Tabela15[[#This Row],[Valor da Entrega]]</f>
        <v>21.9</v>
      </c>
      <c r="M10" s="8">
        <f>IF(Tabela15[[#This Row],[Id da Venda]]=B11,0,SUMIF(Tabela15[Id da Venda],Tabela15[[#This Row],[Id da Venda]],Tabela15[Total]))</f>
        <v>21.9</v>
      </c>
    </row>
    <row r="11" spans="1:21" x14ac:dyDescent="0.25">
      <c r="B11">
        <v>10</v>
      </c>
      <c r="C11" s="40">
        <v>42189</v>
      </c>
      <c r="D11" t="s">
        <v>20</v>
      </c>
      <c r="E11" t="str">
        <f>IFERROR(VLOOKUP(Tabela15[[#This Row],[Produto]],Calculos!$J$5:$M$33,4,FALSE),"")</f>
        <v>Kg</v>
      </c>
      <c r="F11">
        <v>6</v>
      </c>
      <c r="G11" s="8">
        <f>IFERROR(VLOOKUP(Tabela15[[#This Row],[Produto]],Calculos!$J$5:$M$33,3,FALSE),0)</f>
        <v>4.28</v>
      </c>
      <c r="H11" s="8">
        <f>IFERROR(Tabela15[[#This Row],[Quantidade]]*Tabela15[[#This Row],[Preço Unitário]],"")</f>
        <v>25.68</v>
      </c>
      <c r="I11" s="14"/>
      <c r="J11" s="6" t="s">
        <v>113</v>
      </c>
      <c r="K11" s="8">
        <f>IFERROR(IF(Tabela15[[#This Row],[Id da Venda]]=B12,0,VLOOKUP(Tabela15[[#This Row],[Entrega]],Calculos!$B$5:$C$9,2,0)),0)</f>
        <v>0</v>
      </c>
      <c r="L11" s="8">
        <f>Tabela15[[#This Row],[SubTotal]]*(1-Tabela15[[#This Row],[Desconto]])+Tabela15[[#This Row],[Valor da Entrega]]</f>
        <v>25.68</v>
      </c>
      <c r="M11" s="8">
        <f>IF(Tabela15[[#This Row],[Id da Venda]]=B12,0,SUMIF(Tabela15[Id da Venda],Tabela15[[#This Row],[Id da Venda]],Tabela15[Total]))</f>
        <v>0</v>
      </c>
    </row>
    <row r="12" spans="1:21" x14ac:dyDescent="0.25">
      <c r="B12">
        <v>10</v>
      </c>
      <c r="C12" s="40">
        <v>42189</v>
      </c>
      <c r="D12" t="s">
        <v>74</v>
      </c>
      <c r="E12" t="str">
        <f>IFERROR(VLOOKUP(Tabela15[[#This Row],[Produto]],Calculos!$J$5:$M$33,4,FALSE),"")</f>
        <v>Litro</v>
      </c>
      <c r="F12">
        <v>4</v>
      </c>
      <c r="G12" s="8">
        <f>IFERROR(VLOOKUP(Tabela15[[#This Row],[Produto]],Calculos!$J$5:$M$33,3,FALSE),0)</f>
        <v>2.39</v>
      </c>
      <c r="H12" s="8">
        <f>IFERROR(Tabela15[[#This Row],[Quantidade]]*Tabela15[[#This Row],[Preço Unitário]],"")</f>
        <v>9.56</v>
      </c>
      <c r="I12" s="14"/>
      <c r="J12" s="6" t="s">
        <v>113</v>
      </c>
      <c r="K12" s="8">
        <f>IFERROR(IF(Tabela15[[#This Row],[Id da Venda]]=B13,0,VLOOKUP(Tabela15[[#This Row],[Entrega]],Calculos!$B$5:$C$9,2,0)),0)</f>
        <v>0</v>
      </c>
      <c r="L12" s="8">
        <f>Tabela15[[#This Row],[SubTotal]]*(1-Tabela15[[#This Row],[Desconto]])+Tabela15[[#This Row],[Valor da Entrega]]</f>
        <v>9.56</v>
      </c>
      <c r="M12" s="8">
        <f>IF(Tabela15[[#This Row],[Id da Venda]]=B13,0,SUMIF(Tabela15[Id da Venda],Tabela15[[#This Row],[Id da Venda]],Tabela15[Total]))</f>
        <v>35.24</v>
      </c>
    </row>
    <row r="13" spans="1:21" x14ac:dyDescent="0.25">
      <c r="B13">
        <v>9</v>
      </c>
      <c r="C13" s="40">
        <v>42188</v>
      </c>
      <c r="D13" t="s">
        <v>73</v>
      </c>
      <c r="E13" t="str">
        <f>IFERROR(VLOOKUP(Tabela15[[#This Row],[Produto]],Calculos!$J$5:$M$33,4,FALSE),"")</f>
        <v>Unidade</v>
      </c>
      <c r="F13">
        <v>5</v>
      </c>
      <c r="G13" s="8">
        <f>IFERROR(VLOOKUP(Tabela15[[#This Row],[Produto]],Calculos!$J$5:$M$33,3,FALSE),0)</f>
        <v>2.89</v>
      </c>
      <c r="H13" s="8">
        <f>IFERROR(Tabela15[[#This Row],[Quantidade]]*Tabela15[[#This Row],[Preço Unitário]],"")</f>
        <v>14.450000000000001</v>
      </c>
      <c r="I13" s="14"/>
      <c r="J13" s="6" t="s">
        <v>113</v>
      </c>
      <c r="K13" s="8">
        <f>IFERROR(IF(Tabela15[[#This Row],[Id da Venda]]=B14,0,VLOOKUP(Tabela15[[#This Row],[Entrega]],Calculos!$B$5:$C$9,2,0)),0)</f>
        <v>0</v>
      </c>
      <c r="L13" s="8">
        <f>Tabela15[[#This Row],[SubTotal]]*(1-Tabela15[[#This Row],[Desconto]])+Tabela15[[#This Row],[Valor da Entrega]]</f>
        <v>14.450000000000001</v>
      </c>
      <c r="M13" s="8">
        <f>IF(Tabela15[[#This Row],[Id da Venda]]=B14,0,SUMIF(Tabela15[Id da Venda],Tabela15[[#This Row],[Id da Venda]],Tabela15[Total]))</f>
        <v>0</v>
      </c>
    </row>
    <row r="14" spans="1:21" x14ac:dyDescent="0.25">
      <c r="B14">
        <v>9</v>
      </c>
      <c r="C14" s="40">
        <v>42188</v>
      </c>
      <c r="D14" t="s">
        <v>30</v>
      </c>
      <c r="E14" t="str">
        <f>IFERROR(VLOOKUP(Tabela15[[#This Row],[Produto]],Calculos!$J$5:$M$33,4,FALSE),"")</f>
        <v>Kg</v>
      </c>
      <c r="F14">
        <v>2</v>
      </c>
      <c r="G14" s="8">
        <f>IFERROR(VLOOKUP(Tabela15[[#This Row],[Produto]],Calculos!$J$5:$M$33,3,FALSE),0)</f>
        <v>9.58</v>
      </c>
      <c r="H14" s="8">
        <f>IFERROR(Tabela15[[#This Row],[Quantidade]]*Tabela15[[#This Row],[Preço Unitário]],"")</f>
        <v>19.16</v>
      </c>
      <c r="I14" s="14"/>
      <c r="J14" s="6" t="s">
        <v>113</v>
      </c>
      <c r="K14" s="8">
        <f>IFERROR(IF(Tabela15[[#This Row],[Id da Venda]]=B15,0,VLOOKUP(Tabela15[[#This Row],[Entrega]],Calculos!$B$5:$C$9,2,0)),0)</f>
        <v>0</v>
      </c>
      <c r="L14" s="8">
        <f>Tabela15[[#This Row],[SubTotal]]*(1-Tabela15[[#This Row],[Desconto]])+Tabela15[[#This Row],[Valor da Entrega]]</f>
        <v>19.16</v>
      </c>
      <c r="M14" s="8">
        <f>IF(Tabela15[[#This Row],[Id da Venda]]=B15,0,SUMIF(Tabela15[Id da Venda],Tabela15[[#This Row],[Id da Venda]],Tabela15[Total]))</f>
        <v>0</v>
      </c>
    </row>
    <row r="15" spans="1:21" x14ac:dyDescent="0.25">
      <c r="B15">
        <v>9</v>
      </c>
      <c r="C15" s="40">
        <v>42188</v>
      </c>
      <c r="D15" t="s">
        <v>26</v>
      </c>
      <c r="E15" t="str">
        <f>IFERROR(VLOOKUP(Tabela15[[#This Row],[Produto]],Calculos!$J$5:$M$33,4,FALSE),"")</f>
        <v>Kg</v>
      </c>
      <c r="F15">
        <v>1.5</v>
      </c>
      <c r="G15" s="8">
        <f>IFERROR(VLOOKUP(Tabela15[[#This Row],[Produto]],Calculos!$J$5:$M$33,3,FALSE),0)</f>
        <v>25.9</v>
      </c>
      <c r="H15" s="8">
        <f>IFERROR(Tabela15[[#This Row],[Quantidade]]*Tabela15[[#This Row],[Preço Unitário]],"")</f>
        <v>38.849999999999994</v>
      </c>
      <c r="I15" s="14"/>
      <c r="J15" s="6" t="s">
        <v>113</v>
      </c>
      <c r="K15" s="8">
        <f>IFERROR(IF(Tabela15[[#This Row],[Id da Venda]]=B16,0,VLOOKUP(Tabela15[[#This Row],[Entrega]],Calculos!$B$5:$C$9,2,0)),0)</f>
        <v>0</v>
      </c>
      <c r="L15" s="8">
        <f>Tabela15[[#This Row],[SubTotal]]*(1-Tabela15[[#This Row],[Desconto]])+Tabela15[[#This Row],[Valor da Entrega]]</f>
        <v>38.849999999999994</v>
      </c>
      <c r="M15" s="8">
        <f>IF(Tabela15[[#This Row],[Id da Venda]]=B16,0,SUMIF(Tabela15[Id da Venda],Tabela15[[#This Row],[Id da Venda]],Tabela15[Total]))</f>
        <v>0</v>
      </c>
    </row>
    <row r="16" spans="1:21" x14ac:dyDescent="0.25">
      <c r="B16">
        <v>9</v>
      </c>
      <c r="C16" s="40">
        <v>42188</v>
      </c>
      <c r="D16" t="s">
        <v>20</v>
      </c>
      <c r="E16" s="41" t="str">
        <f>IFERROR(VLOOKUP(Tabela15[[#This Row],[Produto]],Calculos!$J$5:$M$33,4,FALSE),"")</f>
        <v>Kg</v>
      </c>
      <c r="F16">
        <v>4</v>
      </c>
      <c r="G16" s="42">
        <f>IFERROR(VLOOKUP(Tabela15[[#This Row],[Produto]],Calculos!$J$5:$M$33,3,FALSE),0)</f>
        <v>4.28</v>
      </c>
      <c r="H16" s="42">
        <f>IFERROR(Tabela15[[#This Row],[Quantidade]]*Tabela15[[#This Row],[Preço Unitário]],"")</f>
        <v>17.12</v>
      </c>
      <c r="I16" s="14"/>
      <c r="J16" s="6" t="s">
        <v>113</v>
      </c>
      <c r="K16" s="8">
        <f>IFERROR(IF(Tabela15[[#This Row],[Id da Venda]]=B17,0,VLOOKUP(Tabela15[[#This Row],[Entrega]],Calculos!$B$5:$C$9,2,0)),0)</f>
        <v>0</v>
      </c>
      <c r="L16" s="42">
        <f>Tabela15[[#This Row],[SubTotal]]*(1-Tabela15[[#This Row],[Desconto]])+Tabela15[[#This Row],[Valor da Entrega]]</f>
        <v>17.12</v>
      </c>
      <c r="M16" s="8">
        <f>IF(Tabela15[[#This Row],[Id da Venda]]=B17,0,SUMIF(Tabela15[Id da Venda],Tabela15[[#This Row],[Id da Venda]],Tabela15[Total]))</f>
        <v>89.58</v>
      </c>
    </row>
    <row r="17" spans="2:13" x14ac:dyDescent="0.25">
      <c r="B17">
        <v>8</v>
      </c>
      <c r="C17" s="40">
        <v>42188</v>
      </c>
      <c r="D17" t="s">
        <v>32</v>
      </c>
      <c r="E17" s="41" t="str">
        <f>IFERROR(VLOOKUP(Tabela15[[#This Row],[Produto]],Calculos!$J$5:$M$33,4,FALSE),"")</f>
        <v>Lata</v>
      </c>
      <c r="F17">
        <v>20</v>
      </c>
      <c r="G17" s="42">
        <f>IFERROR(VLOOKUP(Tabela15[[#This Row],[Produto]],Calculos!$J$5:$M$33,3,FALSE),0)</f>
        <v>2.19</v>
      </c>
      <c r="H17" s="42">
        <f>IFERROR(Tabela15[[#This Row],[Quantidade]]*Tabela15[[#This Row],[Preço Unitário]],"")</f>
        <v>43.8</v>
      </c>
      <c r="I17" s="14"/>
      <c r="J17" s="6" t="s">
        <v>116</v>
      </c>
      <c r="K17" s="8">
        <f>IFERROR(IF(Tabela15[[#This Row],[Id da Venda]]=B18,0,VLOOKUP(Tabela15[[#This Row],[Entrega]],Calculos!$B$5:$C$9,2,0)),0)</f>
        <v>6.5</v>
      </c>
      <c r="L17" s="42">
        <f>Tabela15[[#This Row],[SubTotal]]*(1-Tabela15[[#This Row],[Desconto]])+Tabela15[[#This Row],[Valor da Entrega]]</f>
        <v>50.3</v>
      </c>
      <c r="M17" s="8">
        <f>IF(Tabela15[[#This Row],[Id da Venda]]=B18,0,SUMIF(Tabela15[Id da Venda],Tabela15[[#This Row],[Id da Venda]],Tabela15[Total]))</f>
        <v>50.3</v>
      </c>
    </row>
    <row r="18" spans="2:13" x14ac:dyDescent="0.25">
      <c r="B18">
        <v>7</v>
      </c>
      <c r="C18" s="40">
        <v>42188</v>
      </c>
      <c r="D18" t="s">
        <v>32</v>
      </c>
      <c r="E18" s="41" t="str">
        <f>IFERROR(VLOOKUP(Tabela15[[#This Row],[Produto]],Calculos!$J$5:$M$33,4,FALSE),"")</f>
        <v>Lata</v>
      </c>
      <c r="F18">
        <v>20</v>
      </c>
      <c r="G18" s="42">
        <f>IFERROR(VLOOKUP(Tabela15[[#This Row],[Produto]],Calculos!$J$5:$M$33,3,FALSE),0)</f>
        <v>2.19</v>
      </c>
      <c r="H18" s="42">
        <f>IFERROR(Tabela15[[#This Row],[Quantidade]]*Tabela15[[#This Row],[Preço Unitário]],"")</f>
        <v>43.8</v>
      </c>
      <c r="I18" s="14"/>
      <c r="J18" s="6" t="s">
        <v>113</v>
      </c>
      <c r="K18" s="8">
        <f>IFERROR(IF(Tabela15[[#This Row],[Id da Venda]]=B19,0,VLOOKUP(Tabela15[[#This Row],[Entrega]],Calculos!$B$5:$C$9,2,0)),0)</f>
        <v>0</v>
      </c>
      <c r="L18" s="42">
        <f>Tabela15[[#This Row],[SubTotal]]*(1-Tabela15[[#This Row],[Desconto]])+Tabela15[[#This Row],[Valor da Entrega]]</f>
        <v>43.8</v>
      </c>
      <c r="M18" s="8">
        <f>IF(Tabela15[[#This Row],[Id da Venda]]=B19,0,SUMIF(Tabela15[Id da Venda],Tabela15[[#This Row],[Id da Venda]],Tabela15[Total]))</f>
        <v>43.8</v>
      </c>
    </row>
    <row r="19" spans="2:13" x14ac:dyDescent="0.25">
      <c r="B19">
        <v>6</v>
      </c>
      <c r="C19" s="40">
        <v>42188</v>
      </c>
      <c r="D19" t="s">
        <v>35</v>
      </c>
      <c r="E19" s="41" t="str">
        <f>IFERROR(VLOOKUP(Tabela15[[#This Row],[Produto]],Calculos!$J$5:$M$33,4,FALSE),"")</f>
        <v>Pacote</v>
      </c>
      <c r="F19">
        <v>2</v>
      </c>
      <c r="G19" s="42">
        <f>IFERROR(VLOOKUP(Tabela15[[#This Row],[Produto]],Calculos!$J$5:$M$33,3,FALSE),0)</f>
        <v>0.79</v>
      </c>
      <c r="H19" s="42">
        <f>IFERROR(Tabela15[[#This Row],[Quantidade]]*Tabela15[[#This Row],[Preço Unitário]],"")</f>
        <v>1.58</v>
      </c>
      <c r="I19" s="14"/>
      <c r="J19" s="6" t="s">
        <v>113</v>
      </c>
      <c r="K19" s="8">
        <f>IFERROR(IF(Tabela15[[#This Row],[Id da Venda]]=B20,0,VLOOKUP(Tabela15[[#This Row],[Entrega]],Calculos!$B$5:$C$9,2,0)),0)</f>
        <v>0</v>
      </c>
      <c r="L19" s="42">
        <f>Tabela15[[#This Row],[SubTotal]]*(1-Tabela15[[#This Row],[Desconto]])+Tabela15[[#This Row],[Valor da Entrega]]</f>
        <v>1.58</v>
      </c>
      <c r="M19" s="8">
        <f>IF(Tabela15[[#This Row],[Id da Venda]]=B20,0,SUMIF(Tabela15[Id da Venda],Tabela15[[#This Row],[Id da Venda]],Tabela15[Total]))</f>
        <v>0</v>
      </c>
    </row>
    <row r="20" spans="2:13" x14ac:dyDescent="0.25">
      <c r="B20">
        <v>6</v>
      </c>
      <c r="C20" s="40">
        <v>42188</v>
      </c>
      <c r="D20" t="s">
        <v>23</v>
      </c>
      <c r="E20" s="41" t="str">
        <f>IFERROR(VLOOKUP(Tabela15[[#This Row],[Produto]],Calculos!$J$5:$M$33,4,FALSE),"")</f>
        <v>Kg</v>
      </c>
      <c r="F20">
        <v>6</v>
      </c>
      <c r="G20" s="42">
        <f>IFERROR(VLOOKUP(Tabela15[[#This Row],[Produto]],Calculos!$J$5:$M$33,3,FALSE),0)</f>
        <v>15.9</v>
      </c>
      <c r="H20" s="42">
        <f>IFERROR(Tabela15[[#This Row],[Quantidade]]*Tabela15[[#This Row],[Preço Unitário]],"")</f>
        <v>95.4</v>
      </c>
      <c r="I20" s="14"/>
      <c r="J20" s="6" t="s">
        <v>113</v>
      </c>
      <c r="K20" s="8">
        <f>IFERROR(IF(Tabela15[[#This Row],[Id da Venda]]=B21,0,VLOOKUP(Tabela15[[#This Row],[Entrega]],Calculos!$B$5:$C$9,2,0)),0)</f>
        <v>0</v>
      </c>
      <c r="L20" s="42">
        <f>Tabela15[[#This Row],[SubTotal]]*(1-Tabela15[[#This Row],[Desconto]])+Tabela15[[#This Row],[Valor da Entrega]]</f>
        <v>95.4</v>
      </c>
      <c r="M20" s="8">
        <f>IF(Tabela15[[#This Row],[Id da Venda]]=B21,0,SUMIF(Tabela15[Id da Venda],Tabela15[[#This Row],[Id da Venda]],Tabela15[Total]))</f>
        <v>0</v>
      </c>
    </row>
    <row r="21" spans="2:13" x14ac:dyDescent="0.25">
      <c r="B21">
        <v>6</v>
      </c>
      <c r="C21" s="40">
        <v>42188</v>
      </c>
      <c r="D21" t="s">
        <v>32</v>
      </c>
      <c r="E21" s="41" t="str">
        <f>IFERROR(VLOOKUP(Tabela15[[#This Row],[Produto]],Calculos!$J$5:$M$33,4,FALSE),"")</f>
        <v>Lata</v>
      </c>
      <c r="F21">
        <v>12</v>
      </c>
      <c r="G21" s="42">
        <f>IFERROR(VLOOKUP(Tabela15[[#This Row],[Produto]],Calculos!$J$5:$M$33,3,FALSE),0)</f>
        <v>2.19</v>
      </c>
      <c r="H21" s="42">
        <f>IFERROR(Tabela15[[#This Row],[Quantidade]]*Tabela15[[#This Row],[Preço Unitário]],"")</f>
        <v>26.28</v>
      </c>
      <c r="I21" s="14"/>
      <c r="J21" s="6" t="s">
        <v>113</v>
      </c>
      <c r="K21" s="8">
        <f>IFERROR(IF(Tabela15[[#This Row],[Id da Venda]]=B22,0,VLOOKUP(Tabela15[[#This Row],[Entrega]],Calculos!$B$5:$C$9,2,0)),0)</f>
        <v>0</v>
      </c>
      <c r="L21" s="42">
        <f>Tabela15[[#This Row],[SubTotal]]*(1-Tabela15[[#This Row],[Desconto]])+Tabela15[[#This Row],[Valor da Entrega]]</f>
        <v>26.28</v>
      </c>
      <c r="M21" s="8">
        <f>IF(Tabela15[[#This Row],[Id da Venda]]=B22,0,SUMIF(Tabela15[Id da Venda],Tabela15[[#This Row],[Id da Venda]],Tabela15[Total]))</f>
        <v>123.26</v>
      </c>
    </row>
    <row r="22" spans="2:13" x14ac:dyDescent="0.25">
      <c r="B22">
        <v>5</v>
      </c>
      <c r="C22" s="40">
        <v>42187</v>
      </c>
      <c r="D22" t="s">
        <v>22</v>
      </c>
      <c r="E22" s="41" t="str">
        <f>IFERROR(VLOOKUP(Tabela15[[#This Row],[Produto]],Calculos!$J$5:$M$33,4,FALSE),"")</f>
        <v>Unidade</v>
      </c>
      <c r="F22">
        <v>3</v>
      </c>
      <c r="G22" s="42">
        <f>IFERROR(VLOOKUP(Tabela15[[#This Row],[Produto]],Calculos!$J$5:$M$33,3,FALSE),0)</f>
        <v>2.99</v>
      </c>
      <c r="H22" s="42">
        <f>IFERROR(Tabela15[[#This Row],[Quantidade]]*Tabela15[[#This Row],[Preço Unitário]],"")</f>
        <v>8.9700000000000006</v>
      </c>
      <c r="I22" s="14"/>
      <c r="J22" s="6" t="s">
        <v>116</v>
      </c>
      <c r="K22" s="8">
        <f>IFERROR(IF(Tabela15[[#This Row],[Id da Venda]]=B23,0,VLOOKUP(Tabela15[[#This Row],[Entrega]],Calculos!$B$5:$C$9,2,0)),0)</f>
        <v>6.5</v>
      </c>
      <c r="L22" s="42">
        <f>Tabela15[[#This Row],[SubTotal]]*(1-Tabela15[[#This Row],[Desconto]])+Tabela15[[#This Row],[Valor da Entrega]]</f>
        <v>15.47</v>
      </c>
      <c r="M22" s="8">
        <f>IF(Tabela15[[#This Row],[Id da Venda]]=B23,0,SUMIF(Tabela15[Id da Venda],Tabela15[[#This Row],[Id da Venda]],Tabela15[Total]))</f>
        <v>15.47</v>
      </c>
    </row>
    <row r="23" spans="2:13" x14ac:dyDescent="0.25">
      <c r="B23">
        <v>4</v>
      </c>
      <c r="C23" s="40">
        <v>42187</v>
      </c>
      <c r="D23" t="s">
        <v>36</v>
      </c>
      <c r="E23" s="41" t="str">
        <f>IFERROR(VLOOKUP(Tabela15[[#This Row],[Produto]],Calculos!$J$5:$M$33,4,FALSE),"")</f>
        <v>Pacote</v>
      </c>
      <c r="F23">
        <v>2</v>
      </c>
      <c r="G23" s="42">
        <f>IFERROR(VLOOKUP(Tabela15[[#This Row],[Produto]],Calculos!$J$5:$M$33,3,FALSE),0)</f>
        <v>1.99</v>
      </c>
      <c r="H23" s="42">
        <f>IFERROR(Tabela15[[#This Row],[Quantidade]]*Tabela15[[#This Row],[Preço Unitário]],"")</f>
        <v>3.98</v>
      </c>
      <c r="I23" s="14"/>
      <c r="J23" s="6" t="s">
        <v>114</v>
      </c>
      <c r="K23" s="8">
        <f>IFERROR(IF(Tabela15[[#This Row],[Id da Venda]]=B24,0,VLOOKUP(Tabela15[[#This Row],[Entrega]],Calculos!$B$5:$C$9,2,0)),0)</f>
        <v>0</v>
      </c>
      <c r="L23" s="42">
        <f>Tabela15[[#This Row],[SubTotal]]*(1-Tabela15[[#This Row],[Desconto]])+Tabela15[[#This Row],[Valor da Entrega]]</f>
        <v>3.98</v>
      </c>
      <c r="M23" s="8">
        <f>IF(Tabela15[[#This Row],[Id da Venda]]=B24,0,SUMIF(Tabela15[Id da Venda],Tabela15[[#This Row],[Id da Venda]],Tabela15[Total]))</f>
        <v>0</v>
      </c>
    </row>
    <row r="24" spans="2:13" x14ac:dyDescent="0.25">
      <c r="B24">
        <v>4</v>
      </c>
      <c r="C24" s="40">
        <v>42187</v>
      </c>
      <c r="D24" t="s">
        <v>19</v>
      </c>
      <c r="E24" s="41" t="str">
        <f>IFERROR(VLOOKUP(Tabela15[[#This Row],[Produto]],Calculos!$J$5:$M$33,4,FALSE),"")</f>
        <v>Kg</v>
      </c>
      <c r="F24">
        <v>5</v>
      </c>
      <c r="G24" s="42">
        <f>IFERROR(VLOOKUP(Tabela15[[#This Row],[Produto]],Calculos!$J$5:$M$33,3,FALSE),0)</f>
        <v>2.4900000000000002</v>
      </c>
      <c r="H24" s="42">
        <f>IFERROR(Tabela15[[#This Row],[Quantidade]]*Tabela15[[#This Row],[Preço Unitário]],"")</f>
        <v>12.450000000000001</v>
      </c>
      <c r="I24" s="14"/>
      <c r="J24" s="6" t="s">
        <v>114</v>
      </c>
      <c r="K24" s="8">
        <f>IFERROR(IF(Tabela15[[#This Row],[Id da Venda]]=B25,0,VLOOKUP(Tabela15[[#This Row],[Entrega]],Calculos!$B$5:$C$9,2,0)),0)</f>
        <v>6.5</v>
      </c>
      <c r="L24" s="42">
        <f>Tabela15[[#This Row],[SubTotal]]*(1-Tabela15[[#This Row],[Desconto]])+Tabela15[[#This Row],[Valor da Entrega]]</f>
        <v>18.950000000000003</v>
      </c>
      <c r="M24" s="8">
        <f>IF(Tabela15[[#This Row],[Id da Venda]]=B25,0,SUMIF(Tabela15[Id da Venda],Tabela15[[#This Row],[Id da Venda]],Tabela15[Total]))</f>
        <v>22.930000000000003</v>
      </c>
    </row>
    <row r="25" spans="2:13" x14ac:dyDescent="0.25">
      <c r="B25">
        <v>3</v>
      </c>
      <c r="C25" s="40">
        <v>42187</v>
      </c>
      <c r="D25" t="s">
        <v>68</v>
      </c>
      <c r="E25" s="41" t="str">
        <f>IFERROR(VLOOKUP(Tabela15[[#This Row],[Produto]],Calculos!$J$5:$M$33,4,FALSE),"")</f>
        <v>Litro</v>
      </c>
      <c r="F25">
        <v>6</v>
      </c>
      <c r="G25" s="42">
        <f>IFERROR(VLOOKUP(Tabela15[[#This Row],[Produto]],Calculos!$J$5:$M$33,3,FALSE),0)</f>
        <v>1.49</v>
      </c>
      <c r="H25" s="42">
        <f>IFERROR(Tabela15[[#This Row],[Quantidade]]*Tabela15[[#This Row],[Preço Unitário]],"")</f>
        <v>8.94</v>
      </c>
      <c r="I25" s="14"/>
      <c r="J25" s="6" t="s">
        <v>115</v>
      </c>
      <c r="K25" s="8">
        <f>IFERROR(IF(Tabela15[[#This Row],[Id da Venda]]=B26,0,VLOOKUP(Tabela15[[#This Row],[Entrega]],Calculos!$B$5:$C$9,2,0)),0)</f>
        <v>8</v>
      </c>
      <c r="L25" s="42">
        <f>Tabela15[[#This Row],[SubTotal]]*(1-Tabela15[[#This Row],[Desconto]])+Tabela15[[#This Row],[Valor da Entrega]]</f>
        <v>16.939999999999998</v>
      </c>
      <c r="M25" s="8">
        <f>IF(Tabela15[[#This Row],[Id da Venda]]=B26,0,SUMIF(Tabela15[Id da Venda],Tabela15[[#This Row],[Id da Venda]],Tabela15[Total]))</f>
        <v>16.939999999999998</v>
      </c>
    </row>
    <row r="26" spans="2:13" x14ac:dyDescent="0.25">
      <c r="B26">
        <v>2</v>
      </c>
      <c r="C26" s="40">
        <v>42187</v>
      </c>
      <c r="D26" t="s">
        <v>36</v>
      </c>
      <c r="E26" s="41" t="str">
        <f>IFERROR(VLOOKUP(Tabela15[[#This Row],[Produto]],Calculos!$J$5:$M$33,4,FALSE),"")</f>
        <v>Pacote</v>
      </c>
      <c r="F26">
        <v>1</v>
      </c>
      <c r="G26" s="42">
        <f>IFERROR(VLOOKUP(Tabela15[[#This Row],[Produto]],Calculos!$J$5:$M$33,3,FALSE),0)</f>
        <v>1.99</v>
      </c>
      <c r="H26" s="42">
        <f>IFERROR(Tabela15[[#This Row],[Quantidade]]*Tabela15[[#This Row],[Preço Unitário]],"")</f>
        <v>1.99</v>
      </c>
      <c r="I26" s="14"/>
      <c r="J26" s="6" t="s">
        <v>114</v>
      </c>
      <c r="K26" s="8">
        <f>IFERROR(IF(Tabela15[[#This Row],[Id da Venda]]=B27,0,VLOOKUP(Tabela15[[#This Row],[Entrega]],Calculos!$B$5:$C$9,2,0)),0)</f>
        <v>6.5</v>
      </c>
      <c r="L26" s="42">
        <f>Tabela15[[#This Row],[SubTotal]]*(1-Tabela15[[#This Row],[Desconto]])+Tabela15[[#This Row],[Valor da Entrega]]</f>
        <v>8.49</v>
      </c>
      <c r="M26" s="8">
        <f>IF(Tabela15[[#This Row],[Id da Venda]]=B27,0,SUMIF(Tabela15[Id da Venda],Tabela15[[#This Row],[Id da Venda]],Tabela15[Total]))</f>
        <v>8.49</v>
      </c>
    </row>
    <row r="27" spans="2:13" x14ac:dyDescent="0.25">
      <c r="B27">
        <v>1</v>
      </c>
      <c r="C27" s="40">
        <v>42187</v>
      </c>
      <c r="D27" t="s">
        <v>19</v>
      </c>
      <c r="E27" s="41" t="str">
        <f>IFERROR(VLOOKUP(Tabela15[[#This Row],[Produto]],Calculos!$J$5:$M$33,4,FALSE),"")</f>
        <v>Kg</v>
      </c>
      <c r="F27">
        <v>2</v>
      </c>
      <c r="G27" s="42">
        <f>IFERROR(VLOOKUP(Tabela15[[#This Row],[Produto]],Calculos!$J$5:$M$33,3,FALSE),0)</f>
        <v>2.4900000000000002</v>
      </c>
      <c r="H27" s="42">
        <f>IFERROR(Tabela15[[#This Row],[Quantidade]]*Tabela15[[#This Row],[Preço Unitário]],"")</f>
        <v>4.9800000000000004</v>
      </c>
      <c r="I27" s="14"/>
      <c r="J27" s="6" t="s">
        <v>113</v>
      </c>
      <c r="K27" s="8">
        <f>IFERROR(IF(Tabela15[[#This Row],[Id da Venda]]=B28,0,VLOOKUP(Tabela15[[#This Row],[Entrega]],Calculos!$B$5:$C$9,2,0)),0)</f>
        <v>0</v>
      </c>
      <c r="L27" s="42">
        <f>Tabela15[[#This Row],[SubTotal]]*(1-Tabela15[[#This Row],[Desconto]])+Tabela15[[#This Row],[Valor da Entrega]]</f>
        <v>4.9800000000000004</v>
      </c>
      <c r="M27" s="8">
        <f>IF(Tabela15[[#This Row],[Id da Venda]]=B28,0,SUMIF(Tabela15[Id da Venda],Tabela15[[#This Row],[Id da Venda]],Tabela15[Total]))</f>
        <v>0</v>
      </c>
    </row>
    <row r="28" spans="2:13" x14ac:dyDescent="0.25">
      <c r="B28">
        <v>1</v>
      </c>
      <c r="C28" s="40">
        <v>42187</v>
      </c>
      <c r="D28" t="s">
        <v>31</v>
      </c>
      <c r="E28" s="41" t="str">
        <f>IFERROR(VLOOKUP(Tabela15[[#This Row],[Produto]],Calculos!$J$5:$M$33,4,FALSE),"")</f>
        <v>Pacote</v>
      </c>
      <c r="F28">
        <v>3</v>
      </c>
      <c r="G28" s="42">
        <f>IFERROR(VLOOKUP(Tabela15[[#This Row],[Produto]],Calculos!$J$5:$M$33,3,FALSE),0)</f>
        <v>1.1499999999999999</v>
      </c>
      <c r="H28" s="42">
        <f>IFERROR(Tabela15[[#This Row],[Quantidade]]*Tabela15[[#This Row],[Preço Unitário]],"")</f>
        <v>3.4499999999999997</v>
      </c>
      <c r="I28" s="14"/>
      <c r="J28" s="6" t="s">
        <v>113</v>
      </c>
      <c r="K28" s="8">
        <f>IFERROR(IF(Tabela15[[#This Row],[Id da Venda]]=B29,0,VLOOKUP(Tabela15[[#This Row],[Entrega]],Calculos!$B$5:$C$9,2,0)),0)</f>
        <v>0</v>
      </c>
      <c r="L28" s="42">
        <f>Tabela15[[#This Row],[SubTotal]]*(1-Tabela15[[#This Row],[Desconto]])+Tabela15[[#This Row],[Valor da Entrega]]</f>
        <v>3.4499999999999997</v>
      </c>
      <c r="M28" s="8">
        <f>IF(Tabela15[[#This Row],[Id da Venda]]=B29,0,SUMIF(Tabela15[Id da Venda],Tabela15[[#This Row],[Id da Venda]],Tabela15[Total]))</f>
        <v>0</v>
      </c>
    </row>
    <row r="29" spans="2:13" x14ac:dyDescent="0.25">
      <c r="B29">
        <v>1</v>
      </c>
      <c r="C29" s="40">
        <v>42187</v>
      </c>
      <c r="D29" t="s">
        <v>36</v>
      </c>
      <c r="E29" s="41" t="str">
        <f>IFERROR(VLOOKUP(Tabela15[[#This Row],[Produto]],Calculos!$J$5:$M$33,4,FALSE),"")</f>
        <v>Pacote</v>
      </c>
      <c r="F29">
        <v>1</v>
      </c>
      <c r="G29" s="42">
        <f>IFERROR(VLOOKUP(Tabela15[[#This Row],[Produto]],Calculos!$J$5:$M$33,3,FALSE),0)</f>
        <v>1.99</v>
      </c>
      <c r="H29" s="42">
        <f>IFERROR(Tabela15[[#This Row],[Quantidade]]*Tabela15[[#This Row],[Preço Unitário]],"")</f>
        <v>1.99</v>
      </c>
      <c r="I29" s="14"/>
      <c r="J29" s="6" t="s">
        <v>113</v>
      </c>
      <c r="K29" s="8">
        <f>IFERROR(IF(Tabela15[[#This Row],[Id da Venda]]=#REF!,0,VLOOKUP(Tabela15[[#This Row],[Entrega]],Calculos!$B$5:$C$9,2,0)),0)</f>
        <v>0</v>
      </c>
      <c r="L29" s="42">
        <f>Tabela15[[#This Row],[SubTotal]]*(1-Tabela15[[#This Row],[Desconto]])+Tabela15[[#This Row],[Valor da Entrega]]</f>
        <v>1.99</v>
      </c>
      <c r="M29" s="8">
        <f>IF(Tabela15[[#This Row],[Id da Venda]]=B30,0,SUMIF(Tabela15[Id da Venda],Tabela15[[#This Row],[Id da Venda]],Tabela15[Total]))</f>
        <v>10.42</v>
      </c>
    </row>
    <row r="31" spans="2:13" ht="21" x14ac:dyDescent="0.35">
      <c r="B31" s="38" t="s">
        <v>117</v>
      </c>
      <c r="C31" s="17"/>
      <c r="D31" s="17"/>
      <c r="E31" s="17"/>
      <c r="F31" s="17"/>
      <c r="G31" s="18"/>
      <c r="H31" s="17"/>
      <c r="I31" s="18"/>
      <c r="J31" s="17"/>
      <c r="K31" s="17"/>
      <c r="L31" s="18"/>
      <c r="M31" s="39">
        <f>SUM(Tabela15[Total])</f>
        <v>670.84630000000016</v>
      </c>
    </row>
    <row r="32" spans="2:13" ht="21" x14ac:dyDescent="0.35">
      <c r="B32" s="38" t="s">
        <v>118</v>
      </c>
      <c r="C32" s="38"/>
      <c r="D32" s="17"/>
      <c r="E32" s="17"/>
      <c r="F32" s="17"/>
      <c r="G32" s="18"/>
      <c r="H32" s="17"/>
      <c r="I32" s="18"/>
      <c r="J32" s="17"/>
      <c r="K32" s="17"/>
      <c r="L32" s="18"/>
      <c r="M32" s="39">
        <f>SUM(Tabela15[Valor da Entrega])</f>
        <v>40.5</v>
      </c>
    </row>
    <row r="33" spans="2:13" ht="21" x14ac:dyDescent="0.35">
      <c r="B33" s="38" t="s">
        <v>135</v>
      </c>
      <c r="C33" s="38"/>
      <c r="D33" s="17"/>
      <c r="E33" s="17"/>
      <c r="F33" s="17"/>
      <c r="G33" s="18"/>
      <c r="H33" s="17"/>
      <c r="I33" s="18"/>
      <c r="J33" s="17"/>
      <c r="K33" s="17"/>
      <c r="L33" s="18"/>
      <c r="M33" s="77">
        <f>SUM(IF(FREQUENCY(Tabela15[Id da Venda],Tabela15[Id da Venda])&gt;0,1,0))</f>
        <v>13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8515482-8827-4C84-947D-F3367A6A126D}">
          <x14:formula1>
            <xm:f>Calculos!$B$5:$B$9</xm:f>
          </x14:formula1>
          <xm:sqref>J5:J29</xm:sqref>
        </x14:dataValidation>
        <x14:dataValidation type="list" allowBlank="1" showInputMessage="1" showErrorMessage="1" xr:uid="{B06878DB-4B66-4DF8-BC25-8DAA9A8E1AEB}">
          <x14:formula1>
            <xm:f>Calculos!$J$5:$J$33</xm:f>
          </x14:formula1>
          <xm:sqref>D5:D29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2A28F-9C42-4369-BF5C-64B2BB994B93}">
  <dimension ref="A3:I27"/>
  <sheetViews>
    <sheetView showGridLines="0" workbookViewId="0">
      <selection activeCell="K6" sqref="K6"/>
    </sheetView>
  </sheetViews>
  <sheetFormatPr defaultRowHeight="15" x14ac:dyDescent="0.25"/>
  <cols>
    <col min="1" max="1" width="19.42578125" bestFit="1" customWidth="1"/>
    <col min="2" max="2" width="19.7109375" bestFit="1" customWidth="1"/>
    <col min="3" max="3" width="13.5703125" bestFit="1" customWidth="1"/>
    <col min="6" max="6" width="18" bestFit="1" customWidth="1"/>
    <col min="7" max="7" width="19.7109375" bestFit="1" customWidth="1"/>
    <col min="8" max="8" width="23.85546875" bestFit="1" customWidth="1"/>
    <col min="9" max="9" width="13.5703125" bestFit="1" customWidth="1"/>
  </cols>
  <sheetData>
    <row r="3" spans="1:9" x14ac:dyDescent="0.25">
      <c r="A3" s="110" t="s">
        <v>148</v>
      </c>
      <c r="B3" t="s">
        <v>150</v>
      </c>
      <c r="C3" t="s">
        <v>151</v>
      </c>
      <c r="F3" s="110" t="s">
        <v>148</v>
      </c>
      <c r="G3" t="s">
        <v>150</v>
      </c>
      <c r="H3" t="s">
        <v>152</v>
      </c>
      <c r="I3" t="s">
        <v>151</v>
      </c>
    </row>
    <row r="4" spans="1:9" x14ac:dyDescent="0.25">
      <c r="A4" s="111">
        <v>42187</v>
      </c>
      <c r="B4" s="41">
        <v>23</v>
      </c>
      <c r="C4" s="9">
        <v>74.25</v>
      </c>
      <c r="F4" s="113" t="s">
        <v>113</v>
      </c>
      <c r="G4" s="41">
        <v>79.5</v>
      </c>
      <c r="H4" s="9">
        <v>0</v>
      </c>
      <c r="I4" s="9">
        <v>326.39000000000004</v>
      </c>
    </row>
    <row r="5" spans="1:9" x14ac:dyDescent="0.25">
      <c r="A5" s="112" t="s">
        <v>22</v>
      </c>
      <c r="B5" s="41">
        <v>3</v>
      </c>
      <c r="C5" s="9">
        <v>15.47</v>
      </c>
      <c r="F5" s="113" t="s">
        <v>114</v>
      </c>
      <c r="G5" s="41">
        <v>8</v>
      </c>
      <c r="H5" s="9">
        <v>13</v>
      </c>
      <c r="I5" s="9">
        <v>31.42</v>
      </c>
    </row>
    <row r="6" spans="1:9" x14ac:dyDescent="0.25">
      <c r="A6" s="112" t="s">
        <v>31</v>
      </c>
      <c r="B6" s="41">
        <v>3</v>
      </c>
      <c r="C6" s="9">
        <v>3.4499999999999997</v>
      </c>
      <c r="F6" s="113" t="s">
        <v>115</v>
      </c>
      <c r="G6" s="41">
        <v>6</v>
      </c>
      <c r="H6" s="9">
        <v>8</v>
      </c>
      <c r="I6" s="9">
        <v>16.939999999999998</v>
      </c>
    </row>
    <row r="7" spans="1:9" x14ac:dyDescent="0.25">
      <c r="A7" s="112" t="s">
        <v>19</v>
      </c>
      <c r="B7" s="41">
        <v>7</v>
      </c>
      <c r="C7" s="9">
        <v>23.930000000000003</v>
      </c>
      <c r="F7" s="113" t="s">
        <v>116</v>
      </c>
      <c r="G7" s="41">
        <v>68</v>
      </c>
      <c r="H7" s="9">
        <v>19.5</v>
      </c>
      <c r="I7" s="9">
        <v>296.09630000000004</v>
      </c>
    </row>
    <row r="8" spans="1:9" x14ac:dyDescent="0.25">
      <c r="A8" s="112" t="s">
        <v>36</v>
      </c>
      <c r="B8" s="41">
        <v>4</v>
      </c>
      <c r="C8" s="9">
        <v>14.46</v>
      </c>
      <c r="F8" s="113" t="s">
        <v>149</v>
      </c>
      <c r="G8" s="41">
        <v>161.5</v>
      </c>
      <c r="H8" s="9">
        <v>40.5</v>
      </c>
      <c r="I8" s="9">
        <v>670.84630000000016</v>
      </c>
    </row>
    <row r="9" spans="1:9" x14ac:dyDescent="0.25">
      <c r="A9" s="112" t="s">
        <v>68</v>
      </c>
      <c r="B9" s="41">
        <v>6</v>
      </c>
      <c r="C9" s="9">
        <v>16.939999999999998</v>
      </c>
    </row>
    <row r="10" spans="1:9" x14ac:dyDescent="0.25">
      <c r="A10" s="111">
        <v>42188</v>
      </c>
      <c r="B10" s="41">
        <v>72.5</v>
      </c>
      <c r="C10" s="9">
        <v>306.94</v>
      </c>
    </row>
    <row r="11" spans="1:9" x14ac:dyDescent="0.25">
      <c r="A11" s="112" t="s">
        <v>35</v>
      </c>
      <c r="B11" s="41">
        <v>2</v>
      </c>
      <c r="C11" s="9">
        <v>1.58</v>
      </c>
    </row>
    <row r="12" spans="1:9" x14ac:dyDescent="0.25">
      <c r="A12" s="112" t="s">
        <v>23</v>
      </c>
      <c r="B12" s="41">
        <v>6</v>
      </c>
      <c r="C12" s="9">
        <v>95.4</v>
      </c>
    </row>
    <row r="13" spans="1:9" x14ac:dyDescent="0.25">
      <c r="A13" s="112" t="s">
        <v>32</v>
      </c>
      <c r="B13" s="41">
        <v>52</v>
      </c>
      <c r="C13" s="9">
        <v>120.38</v>
      </c>
    </row>
    <row r="14" spans="1:9" x14ac:dyDescent="0.25">
      <c r="A14" s="112" t="s">
        <v>20</v>
      </c>
      <c r="B14" s="41">
        <v>4</v>
      </c>
      <c r="C14" s="9">
        <v>17.12</v>
      </c>
    </row>
    <row r="15" spans="1:9" x14ac:dyDescent="0.25">
      <c r="A15" s="112" t="s">
        <v>73</v>
      </c>
      <c r="B15" s="41">
        <v>5</v>
      </c>
      <c r="C15" s="9">
        <v>14.450000000000001</v>
      </c>
    </row>
    <row r="16" spans="1:9" x14ac:dyDescent="0.25">
      <c r="A16" s="112" t="s">
        <v>26</v>
      </c>
      <c r="B16" s="41">
        <v>1.5</v>
      </c>
      <c r="C16" s="9">
        <v>38.849999999999994</v>
      </c>
    </row>
    <row r="17" spans="1:3" x14ac:dyDescent="0.25">
      <c r="A17" s="112" t="s">
        <v>30</v>
      </c>
      <c r="B17" s="41">
        <v>2</v>
      </c>
      <c r="C17" s="9">
        <v>19.16</v>
      </c>
    </row>
    <row r="18" spans="1:3" x14ac:dyDescent="0.25">
      <c r="A18" s="111">
        <v>42189</v>
      </c>
      <c r="B18" s="41">
        <v>21</v>
      </c>
      <c r="C18" s="9">
        <v>59.33</v>
      </c>
    </row>
    <row r="19" spans="1:3" x14ac:dyDescent="0.25">
      <c r="A19" s="112" t="s">
        <v>32</v>
      </c>
      <c r="B19" s="41">
        <v>11</v>
      </c>
      <c r="C19" s="9">
        <v>24.09</v>
      </c>
    </row>
    <row r="20" spans="1:3" x14ac:dyDescent="0.25">
      <c r="A20" s="112" t="s">
        <v>20</v>
      </c>
      <c r="B20" s="41">
        <v>6</v>
      </c>
      <c r="C20" s="9">
        <v>25.68</v>
      </c>
    </row>
    <row r="21" spans="1:3" x14ac:dyDescent="0.25">
      <c r="A21" s="112" t="s">
        <v>74</v>
      </c>
      <c r="B21" s="41">
        <v>4</v>
      </c>
      <c r="C21" s="9">
        <v>9.56</v>
      </c>
    </row>
    <row r="22" spans="1:3" x14ac:dyDescent="0.25">
      <c r="A22" s="111">
        <v>42190</v>
      </c>
      <c r="B22" s="41">
        <v>45</v>
      </c>
      <c r="C22" s="9">
        <v>230.3263</v>
      </c>
    </row>
    <row r="23" spans="1:3" x14ac:dyDescent="0.25">
      <c r="A23" s="112" t="s">
        <v>31</v>
      </c>
      <c r="B23" s="41">
        <v>10</v>
      </c>
      <c r="C23" s="9">
        <v>11.5</v>
      </c>
    </row>
    <row r="24" spans="1:3" x14ac:dyDescent="0.25">
      <c r="A24" s="112" t="s">
        <v>35</v>
      </c>
      <c r="B24" s="41">
        <v>1</v>
      </c>
      <c r="C24" s="9">
        <v>0.76629999999999998</v>
      </c>
    </row>
    <row r="25" spans="1:3" x14ac:dyDescent="0.25">
      <c r="A25" s="112" t="s">
        <v>23</v>
      </c>
      <c r="B25" s="41">
        <v>10</v>
      </c>
      <c r="C25" s="9">
        <v>159</v>
      </c>
    </row>
    <row r="26" spans="1:3" x14ac:dyDescent="0.25">
      <c r="A26" s="112" t="s">
        <v>32</v>
      </c>
      <c r="B26" s="41">
        <v>24</v>
      </c>
      <c r="C26" s="9">
        <v>59.06</v>
      </c>
    </row>
    <row r="27" spans="1:3" x14ac:dyDescent="0.25">
      <c r="A27" s="111" t="s">
        <v>149</v>
      </c>
      <c r="B27" s="41">
        <v>161.5</v>
      </c>
      <c r="C27" s="9">
        <v>670.84629999999993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EF08-3CA1-49A0-81A0-5E825DA0B818}">
  <sheetPr codeName="Planilha9"/>
  <dimension ref="A2:U15"/>
  <sheetViews>
    <sheetView showGridLines="0" zoomScaleNormal="100" workbookViewId="0">
      <selection activeCell="N2" sqref="N2"/>
    </sheetView>
  </sheetViews>
  <sheetFormatPr defaultRowHeight="15" x14ac:dyDescent="0.25"/>
  <cols>
    <col min="1" max="1" width="11.7109375" customWidth="1"/>
    <col min="2" max="2" width="23.7109375" bestFit="1" customWidth="1"/>
    <col min="3" max="3" width="10.7109375" bestFit="1" customWidth="1"/>
    <col min="4" max="4" width="14.5703125" bestFit="1" customWidth="1"/>
    <col min="5" max="5" width="9.85546875" customWidth="1"/>
    <col min="6" max="6" width="13.5703125" customWidth="1"/>
    <col min="7" max="7" width="15.7109375" customWidth="1"/>
    <col min="8" max="8" width="10.85546875" customWidth="1"/>
    <col min="9" max="10" width="11.42578125" customWidth="1"/>
    <col min="11" max="11" width="17.5703125" customWidth="1"/>
    <col min="12" max="12" width="10.7109375" bestFit="1" customWidth="1"/>
    <col min="13" max="13" width="18.7109375" customWidth="1"/>
  </cols>
  <sheetData>
    <row r="2" spans="1:21" s="4" customFormat="1" ht="27.95" customHeight="1" x14ac:dyDescent="0.25">
      <c r="A2" s="34"/>
      <c r="B2" s="35" t="s">
        <v>119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</row>
    <row r="3" spans="1:21" ht="31.5" customHeight="1" x14ac:dyDescent="0.25"/>
    <row r="4" spans="1:21" x14ac:dyDescent="0.25">
      <c r="B4" s="6" t="s">
        <v>104</v>
      </c>
      <c r="C4" s="6" t="s">
        <v>43</v>
      </c>
      <c r="D4" s="6" t="s">
        <v>96</v>
      </c>
      <c r="E4" s="6" t="s">
        <v>57</v>
      </c>
      <c r="F4" s="6" t="s">
        <v>58</v>
      </c>
      <c r="G4" s="6" t="s">
        <v>59</v>
      </c>
      <c r="H4" s="6" t="s">
        <v>105</v>
      </c>
      <c r="I4" s="6" t="s">
        <v>60</v>
      </c>
      <c r="J4" s="6" t="s">
        <v>106</v>
      </c>
      <c r="K4" s="6" t="s">
        <v>107</v>
      </c>
      <c r="L4" s="6" t="s">
        <v>108</v>
      </c>
      <c r="M4" s="6" t="s">
        <v>109</v>
      </c>
    </row>
    <row r="5" spans="1:21" x14ac:dyDescent="0.25">
      <c r="B5" s="6">
        <v>4</v>
      </c>
      <c r="C5" s="109">
        <f ca="1">TODAY()</f>
        <v>45047</v>
      </c>
      <c r="D5" s="6" t="s">
        <v>22</v>
      </c>
      <c r="E5" s="106" t="str">
        <f>IFERROR(VLOOKUP(Tabela1517[[#This Row],[Produto]],Calculos!$J$5:$M$33,4,FALSE),"")</f>
        <v>Unidade</v>
      </c>
      <c r="F5" s="6">
        <v>7</v>
      </c>
      <c r="G5" s="107">
        <f>IFERROR(VLOOKUP(Tabela1517[[#This Row],[Produto]],Calculos!$J$5:$M$33,3,FALSE),0)</f>
        <v>2.99</v>
      </c>
      <c r="H5" s="107">
        <f>IFERROR(Tabela1517[[#This Row],[Quantidade]]*Tabela1517[[#This Row],[Preço Unitário]],"")</f>
        <v>20.93</v>
      </c>
      <c r="I5" s="108"/>
      <c r="J5" s="6" t="s">
        <v>114</v>
      </c>
      <c r="K5" s="107">
        <f>IFERROR(IF(Tabela1517[[#This Row],[Id da Venda]]=B6,0,VLOOKUP(Tabela1517[[#This Row],[Entrega]],Calculos!$B$5:$C$9,2,0)),0)</f>
        <v>0</v>
      </c>
      <c r="L5" s="107">
        <f>Tabela1517[[#This Row],[SubTotal]]*(1-Tabela1517[[#This Row],[Desconto]])+Tabela1517[[#This Row],[Valor da Entrega]]</f>
        <v>20.93</v>
      </c>
      <c r="M5" s="107" t="str">
        <f>IF(Tabela1517[[#This Row],[Id da Venda]]=B6,"",SUMIF(Tabela1517[Id da Venda],Tabela1517[[#This Row],[Id da Venda]],Tabela1517[Total]))</f>
        <v/>
      </c>
    </row>
    <row r="6" spans="1:21" x14ac:dyDescent="0.25">
      <c r="B6" s="6">
        <v>4</v>
      </c>
      <c r="C6" s="109">
        <v>45045</v>
      </c>
      <c r="D6" s="6" t="s">
        <v>33</v>
      </c>
      <c r="E6" s="106" t="str">
        <f>IFERROR(VLOOKUP(Tabela1517[[#This Row],[Produto]],Calculos!$J$5:$M$33,4,FALSE),"")</f>
        <v>Garrafa</v>
      </c>
      <c r="F6" s="6">
        <v>1</v>
      </c>
      <c r="G6" s="107">
        <f>IFERROR(VLOOKUP(Tabela1517[[#This Row],[Produto]],Calculos!$J$5:$M$33,3,FALSE),0)</f>
        <v>54.9</v>
      </c>
      <c r="H6" s="107">
        <f>IFERROR(Tabela1517[[#This Row],[Quantidade]]*Tabela1517[[#This Row],[Preço Unitário]],"")</f>
        <v>54.9</v>
      </c>
      <c r="I6" s="108"/>
      <c r="J6" s="6" t="s">
        <v>114</v>
      </c>
      <c r="K6" s="107">
        <f>IFERROR(IF(Tabela1517[[#This Row],[Id da Venda]]=B7,0,VLOOKUP(Tabela1517[[#This Row],[Entrega]],Calculos!$B$5:$C$9,2,0)),0)</f>
        <v>6.5</v>
      </c>
      <c r="L6" s="107">
        <f>Tabela1517[[#This Row],[SubTotal]]*(1-Tabela1517[[#This Row],[Desconto]])+Tabela1517[[#This Row],[Valor da Entrega]]</f>
        <v>61.4</v>
      </c>
      <c r="M6" s="107">
        <f>IF(Tabela1517[[#This Row],[Id da Venda]]=B7,"",SUMIF(Tabela1517[Id da Venda],Tabela1517[[#This Row],[Id da Venda]],Tabela1517[Total]))</f>
        <v>82.33</v>
      </c>
    </row>
    <row r="7" spans="1:21" x14ac:dyDescent="0.25">
      <c r="B7" s="6">
        <v>3</v>
      </c>
      <c r="C7" s="109">
        <v>45045</v>
      </c>
      <c r="D7" s="6" t="s">
        <v>36</v>
      </c>
      <c r="E7" s="106" t="str">
        <f>IFERROR(VLOOKUP(Tabela1517[[#This Row],[Produto]],Calculos!$J$5:$M$33,4,FALSE),"")</f>
        <v>Pacote</v>
      </c>
      <c r="F7" s="6">
        <v>55</v>
      </c>
      <c r="G7" s="107">
        <f>IFERROR(VLOOKUP(Tabela1517[[#This Row],[Produto]],Calculos!$J$5:$M$33,3,FALSE),0)</f>
        <v>1.99</v>
      </c>
      <c r="H7" s="107">
        <f>IFERROR(Tabela1517[[#This Row],[Quantidade]]*Tabela1517[[#This Row],[Preço Unitário]],"")</f>
        <v>109.45</v>
      </c>
      <c r="I7" s="108"/>
      <c r="J7" s="6" t="s">
        <v>113</v>
      </c>
      <c r="K7" s="107">
        <f>IFERROR(IF(Tabela1517[[#This Row],[Id da Venda]]=B8,0,VLOOKUP(Tabela1517[[#This Row],[Entrega]],Calculos!$B$5:$C$9,2,0)),0)</f>
        <v>0</v>
      </c>
      <c r="L7" s="107">
        <f>Tabela1517[[#This Row],[SubTotal]]*(1-Tabela1517[[#This Row],[Desconto]])+Tabela1517[[#This Row],[Valor da Entrega]]</f>
        <v>109.45</v>
      </c>
      <c r="M7" s="107">
        <f>IF(Tabela1517[[#This Row],[Id da Venda]]=B8,"",SUMIF(Tabela1517[Id da Venda],Tabela1517[[#This Row],[Id da Venda]],Tabela1517[Total]))</f>
        <v>109.45</v>
      </c>
    </row>
    <row r="8" spans="1:21" x14ac:dyDescent="0.25">
      <c r="B8" s="6">
        <v>2</v>
      </c>
      <c r="C8" s="109">
        <v>45045</v>
      </c>
      <c r="D8" s="6" t="s">
        <v>23</v>
      </c>
      <c r="E8" s="106" t="str">
        <f>IFERROR(VLOOKUP(Tabela1517[[#This Row],[Produto]],Calculos!$J$5:$M$33,4,FALSE),"")</f>
        <v>Kg</v>
      </c>
      <c r="F8" s="6">
        <v>5</v>
      </c>
      <c r="G8" s="107">
        <f>IFERROR(VLOOKUP(Tabela1517[[#This Row],[Produto]],Calculos!$J$5:$M$33,3,FALSE),0)</f>
        <v>15.9</v>
      </c>
      <c r="H8" s="107">
        <f>IFERROR(Tabela1517[[#This Row],[Quantidade]]*Tabela1517[[#This Row],[Preço Unitário]],"")</f>
        <v>79.5</v>
      </c>
      <c r="I8" s="108"/>
      <c r="J8" s="6" t="s">
        <v>116</v>
      </c>
      <c r="K8" s="107">
        <f>IFERROR(IF(Tabela1517[[#This Row],[Id da Venda]]=B9,0,VLOOKUP(Tabela1517[[#This Row],[Entrega]],Calculos!$B$5:$C$9,2,0)),0)</f>
        <v>0</v>
      </c>
      <c r="L8" s="107">
        <f>Tabela1517[[#This Row],[SubTotal]]*(1-Tabela1517[[#This Row],[Desconto]])+Tabela1517[[#This Row],[Valor da Entrega]]</f>
        <v>79.5</v>
      </c>
      <c r="M8" s="107" t="str">
        <f>IF(Tabela1517[[#This Row],[Id da Venda]]=B9,"",SUMIF(Tabela1517[Id da Venda],Tabela1517[[#This Row],[Id da Venda]],Tabela1517[Total]))</f>
        <v/>
      </c>
    </row>
    <row r="9" spans="1:21" x14ac:dyDescent="0.25">
      <c r="B9" s="6">
        <v>2</v>
      </c>
      <c r="C9" s="109">
        <f ca="1">TODAY()</f>
        <v>45047</v>
      </c>
      <c r="D9" s="6" t="s">
        <v>29</v>
      </c>
      <c r="E9" s="106" t="str">
        <f>IFERROR(VLOOKUP(Tabela1517[[#This Row],[Produto]],Calculos!$J$5:$M$33,4,FALSE),"")</f>
        <v>Kg</v>
      </c>
      <c r="F9" s="6">
        <v>1</v>
      </c>
      <c r="G9" s="107">
        <f>IFERROR(VLOOKUP(Tabela1517[[#This Row],[Produto]],Calculos!$J$5:$M$33,3,FALSE),0)</f>
        <v>3.99</v>
      </c>
      <c r="H9" s="107">
        <f>IFERROR(Tabela1517[[#This Row],[Quantidade]]*Tabela1517[[#This Row],[Preço Unitário]],"")</f>
        <v>3.99</v>
      </c>
      <c r="I9" s="108"/>
      <c r="J9" s="6" t="s">
        <v>116</v>
      </c>
      <c r="K9" s="107">
        <f>IFERROR(IF(Tabela1517[[#This Row],[Id da Venda]]=B10,0,VLOOKUP(Tabela1517[[#This Row],[Entrega]],Calculos!$B$5:$C$9,2,0)),0)</f>
        <v>0</v>
      </c>
      <c r="L9" s="107">
        <f>Tabela1517[[#This Row],[SubTotal]]*(1-Tabela1517[[#This Row],[Desconto]])+Tabela1517[[#This Row],[Valor da Entrega]]</f>
        <v>3.99</v>
      </c>
      <c r="M9" s="107" t="str">
        <f>IF(Tabela1517[[#This Row],[Id da Venda]]=B10,"",SUMIF(Tabela1517[Id da Venda],Tabela1517[[#This Row],[Id da Venda]],Tabela1517[Total]))</f>
        <v/>
      </c>
    </row>
    <row r="10" spans="1:21" x14ac:dyDescent="0.25">
      <c r="B10" s="6">
        <v>2</v>
      </c>
      <c r="C10" s="109">
        <f ca="1">TODAY()</f>
        <v>45047</v>
      </c>
      <c r="D10" s="6" t="s">
        <v>36</v>
      </c>
      <c r="E10" s="106" t="str">
        <f>IFERROR(VLOOKUP(Tabela1517[[#This Row],[Produto]],Calculos!$J$5:$M$33,4,FALSE),"")</f>
        <v>Pacote</v>
      </c>
      <c r="F10" s="6">
        <v>10</v>
      </c>
      <c r="G10" s="107">
        <f>IFERROR(VLOOKUP(Tabela1517[[#This Row],[Produto]],Calculos!$J$5:$M$33,3,FALSE),0)</f>
        <v>1.99</v>
      </c>
      <c r="H10" s="107">
        <f>IFERROR(Tabela1517[[#This Row],[Quantidade]]*Tabela1517[[#This Row],[Preço Unitário]],"")</f>
        <v>19.899999999999999</v>
      </c>
      <c r="I10" s="108"/>
      <c r="J10" s="6" t="s">
        <v>116</v>
      </c>
      <c r="K10" s="107">
        <f>IFERROR(IF(Tabela1517[[#This Row],[Id da Venda]]=B11,0,VLOOKUP(Tabela1517[[#This Row],[Entrega]],Calculos!$B$5:$C$9,2,0)),0)</f>
        <v>6.5</v>
      </c>
      <c r="L10" s="107">
        <f>Tabela1517[[#This Row],[SubTotal]]*(1-Tabela1517[[#This Row],[Desconto]])+Tabela1517[[#This Row],[Valor da Entrega]]</f>
        <v>26.4</v>
      </c>
      <c r="M10" s="107">
        <f>IF(Tabela1517[[#This Row],[Id da Venda]]=B11,"",SUMIF(Tabela1517[Id da Venda],Tabela1517[[#This Row],[Id da Venda]],Tabela1517[Total]))</f>
        <v>109.88999999999999</v>
      </c>
    </row>
    <row r="11" spans="1:21" x14ac:dyDescent="0.25">
      <c r="B11">
        <v>1</v>
      </c>
      <c r="C11" s="15">
        <f ca="1">TODAY()</f>
        <v>45047</v>
      </c>
      <c r="D11" t="s">
        <v>19</v>
      </c>
      <c r="E11" s="41" t="str">
        <f>IFERROR(VLOOKUP(Tabela1517[[#This Row],[Produto]],Calculos!$J$5:$M$33,4,FALSE),"")</f>
        <v>Kg</v>
      </c>
      <c r="F11">
        <v>5</v>
      </c>
      <c r="G11" s="42">
        <f>IFERROR(VLOOKUP(Tabela1517[[#This Row],[Produto]],Calculos!$J$5:$M$33,3,FALSE),0)</f>
        <v>2.4900000000000002</v>
      </c>
      <c r="H11" s="42">
        <f>IFERROR(Tabela1517[[#This Row],[Quantidade]]*Tabela1517[[#This Row],[Preço Unitário]],"")</f>
        <v>12.450000000000001</v>
      </c>
      <c r="I11" s="14"/>
      <c r="J11" t="s">
        <v>115</v>
      </c>
      <c r="K11" s="42">
        <f>IFERROR(IF(Tabela1517[[#This Row],[Id da Venda]]=B12,0,VLOOKUP(Tabela1517[[#This Row],[Entrega]],Calculos!$B$5:$C$9,2,0)),0)</f>
        <v>8</v>
      </c>
      <c r="L11" s="42">
        <f>Tabela1517[[#This Row],[SubTotal]]*(1-Tabela1517[[#This Row],[Desconto]])+Tabela1517[[#This Row],[Valor da Entrega]]</f>
        <v>20.450000000000003</v>
      </c>
      <c r="M11" s="42">
        <f>IF(Tabela1517[[#This Row],[Id da Venda]]=B12,"",SUMIF(Tabela1517[Id da Venda],Tabela1517[[#This Row],[Id da Venda]],Tabela1517[Total]))</f>
        <v>20.450000000000003</v>
      </c>
    </row>
    <row r="13" spans="1:21" ht="21" x14ac:dyDescent="0.35">
      <c r="B13" s="38" t="s">
        <v>117</v>
      </c>
      <c r="C13" s="17"/>
      <c r="D13" s="17"/>
      <c r="E13" s="17"/>
      <c r="F13" s="17"/>
      <c r="G13" s="18"/>
      <c r="H13" s="17"/>
      <c r="I13" s="18"/>
      <c r="J13" s="17"/>
      <c r="K13" s="17"/>
      <c r="L13" s="18"/>
      <c r="M13" s="39">
        <f>SUM(Tabela1517[Total])</f>
        <v>322.11999999999995</v>
      </c>
    </row>
    <row r="14" spans="1:21" ht="21" x14ac:dyDescent="0.35">
      <c r="B14" s="38" t="s">
        <v>118</v>
      </c>
      <c r="C14" s="38"/>
      <c r="D14" s="17"/>
      <c r="E14" s="17"/>
      <c r="F14" s="17"/>
      <c r="G14" s="18"/>
      <c r="H14" s="17"/>
      <c r="I14" s="18"/>
      <c r="J14" s="17"/>
      <c r="K14" s="17"/>
      <c r="L14" s="18"/>
      <c r="M14" s="39">
        <f>SUM(Tabela1517[Valor da Entrega])</f>
        <v>21</v>
      </c>
    </row>
    <row r="15" spans="1:21" ht="21" x14ac:dyDescent="0.35">
      <c r="B15" s="38" t="s">
        <v>135</v>
      </c>
      <c r="C15" s="38"/>
      <c r="D15" s="17"/>
      <c r="E15" s="17"/>
      <c r="F15" s="17"/>
      <c r="G15" s="18"/>
      <c r="H15" s="17"/>
      <c r="I15" s="18"/>
      <c r="J15" s="17"/>
      <c r="K15" s="17"/>
      <c r="L15" s="18"/>
      <c r="M15" s="77">
        <f>SUM(IF(FREQUENCY(Tabela1517[Id da Venda],Tabela1517[Id da Venda])&gt;0,1,0))</f>
        <v>4</v>
      </c>
    </row>
  </sheetData>
  <pageMargins left="0.511811024" right="0.511811024" top="0.78740157499999996" bottom="0.78740157499999996" header="0.31496062000000002" footer="0.31496062000000002"/>
  <ignoredErrors>
    <ignoredError sqref="C6:C8" calculatedColumn="1"/>
  </ignoredErrors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30E9A6-772A-4997-8D14-35E240339101}">
          <x14:formula1>
            <xm:f>Calculos!$J$5:$J$28</xm:f>
          </x14:formula1>
          <xm:sqref>D5:D11</xm:sqref>
        </x14:dataValidation>
        <x14:dataValidation type="list" allowBlank="1" showInputMessage="1" showErrorMessage="1" xr:uid="{D81CA7FE-381B-432E-8273-C623A806F22C}">
          <x14:formula1>
            <xm:f>Calculos!$B$5:$B$9</xm:f>
          </x14:formula1>
          <xm:sqref>J5:J11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88006-D2EA-456F-BED2-9DFF207A5EB9}">
  <dimension ref="A3:I13"/>
  <sheetViews>
    <sheetView showGridLines="0" workbookViewId="0">
      <selection activeCell="K3" sqref="K3"/>
    </sheetView>
  </sheetViews>
  <sheetFormatPr defaultRowHeight="15" x14ac:dyDescent="0.25"/>
  <cols>
    <col min="1" max="1" width="18" bestFit="1" customWidth="1"/>
    <col min="2" max="2" width="19.7109375" bestFit="1" customWidth="1"/>
    <col min="3" max="3" width="13.5703125" bestFit="1" customWidth="1"/>
    <col min="6" max="6" width="18" bestFit="1" customWidth="1"/>
    <col min="7" max="7" width="19.7109375" bestFit="1" customWidth="1"/>
    <col min="8" max="8" width="23.85546875" bestFit="1" customWidth="1"/>
    <col min="9" max="9" width="13.5703125" bestFit="1" customWidth="1"/>
  </cols>
  <sheetData>
    <row r="3" spans="1:9" x14ac:dyDescent="0.25">
      <c r="A3" s="110" t="s">
        <v>148</v>
      </c>
      <c r="B3" t="s">
        <v>150</v>
      </c>
      <c r="C3" t="s">
        <v>151</v>
      </c>
      <c r="F3" s="110" t="s">
        <v>148</v>
      </c>
      <c r="G3" t="s">
        <v>150</v>
      </c>
      <c r="H3" t="s">
        <v>152</v>
      </c>
      <c r="I3" t="s">
        <v>151</v>
      </c>
    </row>
    <row r="4" spans="1:9" x14ac:dyDescent="0.25">
      <c r="A4" s="111">
        <v>45047</v>
      </c>
      <c r="B4" s="41">
        <v>23</v>
      </c>
      <c r="C4" s="9">
        <v>71.77</v>
      </c>
      <c r="F4" s="113" t="s">
        <v>113</v>
      </c>
      <c r="G4" s="41">
        <v>55</v>
      </c>
      <c r="H4" s="9">
        <v>0</v>
      </c>
      <c r="I4" s="9">
        <v>109.45</v>
      </c>
    </row>
    <row r="5" spans="1:9" x14ac:dyDescent="0.25">
      <c r="A5" s="112" t="s">
        <v>22</v>
      </c>
      <c r="B5" s="41">
        <v>7</v>
      </c>
      <c r="C5" s="9">
        <v>20.93</v>
      </c>
      <c r="F5" s="113" t="s">
        <v>114</v>
      </c>
      <c r="G5" s="41">
        <v>8</v>
      </c>
      <c r="H5" s="9">
        <v>6.5</v>
      </c>
      <c r="I5" s="9">
        <v>82.33</v>
      </c>
    </row>
    <row r="6" spans="1:9" x14ac:dyDescent="0.25">
      <c r="A6" s="112" t="s">
        <v>19</v>
      </c>
      <c r="B6" s="41">
        <v>5</v>
      </c>
      <c r="C6" s="9">
        <v>20.450000000000003</v>
      </c>
      <c r="F6" s="113" t="s">
        <v>115</v>
      </c>
      <c r="G6" s="41">
        <v>5</v>
      </c>
      <c r="H6" s="9">
        <v>8</v>
      </c>
      <c r="I6" s="9">
        <v>20.450000000000003</v>
      </c>
    </row>
    <row r="7" spans="1:9" x14ac:dyDescent="0.25">
      <c r="A7" s="112" t="s">
        <v>36</v>
      </c>
      <c r="B7" s="41">
        <v>10</v>
      </c>
      <c r="C7" s="9">
        <v>26.4</v>
      </c>
      <c r="F7" s="113" t="s">
        <v>116</v>
      </c>
      <c r="G7" s="41">
        <v>16</v>
      </c>
      <c r="H7" s="9">
        <v>6.5</v>
      </c>
      <c r="I7" s="9">
        <v>109.88999999999999</v>
      </c>
    </row>
    <row r="8" spans="1:9" x14ac:dyDescent="0.25">
      <c r="A8" s="112" t="s">
        <v>29</v>
      </c>
      <c r="B8" s="41">
        <v>1</v>
      </c>
      <c r="C8" s="9">
        <v>3.99</v>
      </c>
      <c r="F8" s="113" t="s">
        <v>149</v>
      </c>
      <c r="G8" s="41">
        <v>84</v>
      </c>
      <c r="H8" s="9">
        <v>21</v>
      </c>
      <c r="I8" s="9">
        <v>322.12</v>
      </c>
    </row>
    <row r="9" spans="1:9" x14ac:dyDescent="0.25">
      <c r="A9" s="111">
        <v>45045</v>
      </c>
      <c r="B9" s="41">
        <v>61</v>
      </c>
      <c r="C9" s="9">
        <v>250.35</v>
      </c>
    </row>
    <row r="10" spans="1:9" x14ac:dyDescent="0.25">
      <c r="A10" s="112" t="s">
        <v>36</v>
      </c>
      <c r="B10" s="41">
        <v>55</v>
      </c>
      <c r="C10" s="9">
        <v>109.45</v>
      </c>
    </row>
    <row r="11" spans="1:9" x14ac:dyDescent="0.25">
      <c r="A11" s="112" t="s">
        <v>23</v>
      </c>
      <c r="B11" s="41">
        <v>5</v>
      </c>
      <c r="C11" s="9">
        <v>79.5</v>
      </c>
    </row>
    <row r="12" spans="1:9" x14ac:dyDescent="0.25">
      <c r="A12" s="112" t="s">
        <v>33</v>
      </c>
      <c r="B12" s="41">
        <v>1</v>
      </c>
      <c r="C12" s="9">
        <v>61.4</v>
      </c>
    </row>
    <row r="13" spans="1:9" x14ac:dyDescent="0.25">
      <c r="A13" s="111" t="s">
        <v>149</v>
      </c>
      <c r="B13" s="41">
        <v>84</v>
      </c>
      <c r="C13" s="9">
        <v>322.12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371CE-A5E0-4449-9A0D-654DBE9CE9E5}">
  <sheetPr codeName="Planilha10"/>
  <dimension ref="A2:U12"/>
  <sheetViews>
    <sheetView showGridLines="0" workbookViewId="0">
      <selection activeCell="L2" sqref="L2"/>
    </sheetView>
  </sheetViews>
  <sheetFormatPr defaultRowHeight="15" x14ac:dyDescent="0.25"/>
  <cols>
    <col min="1" max="1" width="11.7109375" customWidth="1"/>
    <col min="2" max="2" width="23.7109375" bestFit="1" customWidth="1"/>
    <col min="3" max="3" width="10.7109375" bestFit="1" customWidth="1"/>
    <col min="4" max="4" width="10.28515625" customWidth="1"/>
    <col min="5" max="5" width="9.85546875" customWidth="1"/>
    <col min="6" max="6" width="13.5703125" customWidth="1"/>
    <col min="7" max="7" width="15.7109375" customWidth="1"/>
    <col min="8" max="8" width="10.85546875" customWidth="1"/>
    <col min="9" max="10" width="11.42578125" customWidth="1"/>
    <col min="11" max="11" width="17.5703125" customWidth="1"/>
    <col min="12" max="12" width="10.5703125" bestFit="1" customWidth="1"/>
    <col min="13" max="13" width="18.7109375" customWidth="1"/>
  </cols>
  <sheetData>
    <row r="2" spans="1:21" s="4" customFormat="1" ht="27.95" customHeight="1" x14ac:dyDescent="0.25">
      <c r="A2" s="34"/>
      <c r="B2" s="35" t="s">
        <v>120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</row>
    <row r="3" spans="1:21" ht="31.5" customHeight="1" x14ac:dyDescent="0.25"/>
    <row r="4" spans="1:21" x14ac:dyDescent="0.25">
      <c r="B4" s="6" t="s">
        <v>104</v>
      </c>
      <c r="C4" s="6" t="s">
        <v>43</v>
      </c>
      <c r="D4" s="6" t="s">
        <v>96</v>
      </c>
      <c r="E4" s="6" t="s">
        <v>57</v>
      </c>
      <c r="F4" s="6" t="s">
        <v>58</v>
      </c>
      <c r="G4" s="6" t="s">
        <v>59</v>
      </c>
      <c r="H4" s="6" t="s">
        <v>105</v>
      </c>
      <c r="I4" s="6" t="s">
        <v>60</v>
      </c>
      <c r="J4" s="6" t="s">
        <v>106</v>
      </c>
      <c r="K4" s="6" t="s">
        <v>107</v>
      </c>
      <c r="L4" s="6" t="s">
        <v>108</v>
      </c>
      <c r="M4" s="6" t="s">
        <v>109</v>
      </c>
    </row>
    <row r="5" spans="1:21" x14ac:dyDescent="0.25">
      <c r="B5" s="106">
        <v>4</v>
      </c>
      <c r="C5" s="109">
        <v>45047</v>
      </c>
      <c r="D5" s="6" t="s">
        <v>31</v>
      </c>
      <c r="E5" s="106" t="str">
        <f>IFERROR(VLOOKUP(Tabela1518[[#This Row],[Produto]],Calculos!$J$5:$M$33,4,FALSE),"")</f>
        <v>Pacote</v>
      </c>
      <c r="F5" s="6">
        <v>4</v>
      </c>
      <c r="G5" s="107">
        <f>IFERROR(VLOOKUP(Tabela1518[[#This Row],[Produto]],Calculos!$J$5:$M$33,3,FALSE),0)</f>
        <v>1.1499999999999999</v>
      </c>
      <c r="H5" s="107">
        <f>IFERROR(Tabela1518[[#This Row],[Quantidade]]*Tabela1518[[#This Row],[Preço Unitário]],"")</f>
        <v>4.5999999999999996</v>
      </c>
      <c r="I5" s="108"/>
      <c r="J5" s="6" t="s">
        <v>113</v>
      </c>
      <c r="K5" s="107">
        <f>IFERROR(IF(Tabela1518[[#This Row],[Id da Venda]]=B8,0,VLOOKUP(Tabela1518[[#This Row],[Entrega]],Calculos!$B$5:$C$9,2,0)),0)</f>
        <v>0</v>
      </c>
      <c r="L5" s="107">
        <f>Tabela1518[[#This Row],[SubTotal]]*(1-Tabela1518[[#This Row],[Desconto]])+Tabela1518[[#This Row],[Valor da Entrega]]</f>
        <v>4.5999999999999996</v>
      </c>
      <c r="M5" s="107">
        <f>IF(Tabela1518[[#This Row],[Id da Venda]]=B6,0,SUMIF(Tabela1518[Id da Venda],Tabela1518[[#This Row],[Id da Venda]],Tabela1518[Total]))</f>
        <v>4.5999999999999996</v>
      </c>
    </row>
    <row r="6" spans="1:21" x14ac:dyDescent="0.25">
      <c r="B6" s="106">
        <v>3</v>
      </c>
      <c r="C6" s="109">
        <v>45045</v>
      </c>
      <c r="D6" s="6" t="s">
        <v>19</v>
      </c>
      <c r="E6" s="106" t="str">
        <f>IFERROR(VLOOKUP(Tabela1518[[#This Row],[Produto]],Calculos!$J$5:$M$33,4,FALSE),"")</f>
        <v>Kg</v>
      </c>
      <c r="F6" s="6">
        <v>5</v>
      </c>
      <c r="G6" s="107">
        <f>IFERROR(VLOOKUP(Tabela1518[[#This Row],[Produto]],Calculos!$J$5:$M$33,3,FALSE),0)</f>
        <v>2.4900000000000002</v>
      </c>
      <c r="H6" s="107">
        <f>IFERROR(Tabela1518[[#This Row],[Quantidade]]*Tabela1518[[#This Row],[Preço Unitário]],"")</f>
        <v>12.450000000000001</v>
      </c>
      <c r="I6" s="108"/>
      <c r="J6" s="6" t="s">
        <v>114</v>
      </c>
      <c r="K6" s="107">
        <f>IFERROR(IF(Tabela1518[[#This Row],[Id da Venda]]=B9,0,VLOOKUP(Tabela1518[[#This Row],[Entrega]],Calculos!$B$5:$C$9,2,0)),0)</f>
        <v>6.5</v>
      </c>
      <c r="L6" s="107">
        <f>Tabela1518[[#This Row],[SubTotal]]*(1-Tabela1518[[#This Row],[Desconto]])+Tabela1518[[#This Row],[Valor da Entrega]]</f>
        <v>18.950000000000003</v>
      </c>
      <c r="M6" s="107">
        <f>IF(Tabela1518[[#This Row],[Id da Venda]]=B7,0,SUMIF(Tabela1518[Id da Venda],Tabela1518[[#This Row],[Id da Venda]],Tabela1518[Total]))</f>
        <v>18.950000000000003</v>
      </c>
    </row>
    <row r="7" spans="1:21" x14ac:dyDescent="0.25">
      <c r="B7" s="106">
        <v>2</v>
      </c>
      <c r="C7" s="109">
        <v>45045</v>
      </c>
      <c r="D7" s="6" t="s">
        <v>28</v>
      </c>
      <c r="E7" s="106" t="str">
        <f>IFERROR(VLOOKUP(Tabela1518[[#This Row],[Produto]],Calculos!$J$5:$M$33,4,FALSE),"")</f>
        <v>Litro</v>
      </c>
      <c r="F7" s="6">
        <v>2</v>
      </c>
      <c r="G7" s="107">
        <f>IFERROR(VLOOKUP(Tabela1518[[#This Row],[Produto]],Calculos!$J$5:$M$33,3,FALSE),0)</f>
        <v>3.45</v>
      </c>
      <c r="H7" s="107">
        <f>IFERROR(Tabela1518[[#This Row],[Quantidade]]*Tabela1518[[#This Row],[Preço Unitário]],"")</f>
        <v>6.9</v>
      </c>
      <c r="I7" s="108"/>
      <c r="J7" s="6" t="s">
        <v>116</v>
      </c>
      <c r="K7" s="107">
        <f>IFERROR(IF(Tabela1518[[#This Row],[Id da Venda]]=B10,0,VLOOKUP(Tabela1518[[#This Row],[Entrega]],Calculos!$B$5:$C$9,2,0)),0)</f>
        <v>6.5</v>
      </c>
      <c r="L7" s="107">
        <f>Tabela1518[[#This Row],[SubTotal]]*(1-Tabela1518[[#This Row],[Desconto]])+Tabela1518[[#This Row],[Valor da Entrega]]</f>
        <v>13.4</v>
      </c>
      <c r="M7" s="107">
        <f>IF(Tabela1518[[#This Row],[Id da Venda]]=B8,0,SUMIF(Tabela1518[Id da Venda],Tabela1518[[#This Row],[Id da Venda]],Tabela1518[Total]))</f>
        <v>13.4</v>
      </c>
    </row>
    <row r="8" spans="1:21" x14ac:dyDescent="0.25">
      <c r="B8" s="106">
        <v>1</v>
      </c>
      <c r="C8" s="109">
        <v>42187</v>
      </c>
      <c r="D8" s="6" t="s">
        <v>31</v>
      </c>
      <c r="E8" s="106" t="str">
        <f>IFERROR(VLOOKUP(Tabela1518[[#This Row],[Produto]],Calculos!$J$5:$M$33,4,FALSE),"")</f>
        <v>Pacote</v>
      </c>
      <c r="F8" s="6">
        <v>3</v>
      </c>
      <c r="G8" s="107">
        <f>IFERROR(VLOOKUP(Tabela1518[[#This Row],[Produto]],Calculos!$J$5:$M$33,3,FALSE),0)</f>
        <v>1.1499999999999999</v>
      </c>
      <c r="H8" s="107">
        <f>IFERROR(Tabela1518[[#This Row],[Quantidade]]*Tabela1518[[#This Row],[Preço Unitário]],"")</f>
        <v>3.4499999999999997</v>
      </c>
      <c r="I8" s="108"/>
      <c r="J8" s="6" t="s">
        <v>113</v>
      </c>
      <c r="K8" s="107">
        <f>IFERROR(IF(Tabela1518[[#This Row],[Id da Venda]]=B11,0,VLOOKUP(Tabela1518[[#This Row],[Entrega]],Calculos!$B$5:$C$9,2,0)),0)</f>
        <v>0</v>
      </c>
      <c r="L8" s="107">
        <f>Tabela1518[[#This Row],[SubTotal]]*(1-Tabela1518[[#This Row],[Desconto]])+Tabela1518[[#This Row],[Valor da Entrega]]</f>
        <v>3.4499999999999997</v>
      </c>
      <c r="M8" s="107">
        <f>IF(Tabela1518[[#This Row],[Id da Venda]]=B9,0,SUMIF(Tabela1518[Id da Venda],Tabela1518[[#This Row],[Id da Venda]],Tabela1518[Total]))</f>
        <v>0</v>
      </c>
    </row>
    <row r="9" spans="1:21" x14ac:dyDescent="0.25">
      <c r="B9" s="106">
        <v>1</v>
      </c>
      <c r="C9" s="109">
        <v>42187</v>
      </c>
      <c r="D9" s="6" t="s">
        <v>36</v>
      </c>
      <c r="E9" s="106" t="str">
        <f>IFERROR(VLOOKUP(Tabela1518[[#This Row],[Produto]],Calculos!$J$5:$M$33,4,FALSE),"")</f>
        <v>Pacote</v>
      </c>
      <c r="F9" s="6">
        <v>1</v>
      </c>
      <c r="G9" s="107">
        <f>IFERROR(VLOOKUP(Tabela1518[[#This Row],[Produto]],Calculos!$J$5:$M$33,3,FALSE),0)</f>
        <v>1.99</v>
      </c>
      <c r="H9" s="107">
        <f>IFERROR(Tabela1518[[#This Row],[Quantidade]]*Tabela1518[[#This Row],[Preço Unitário]],"")</f>
        <v>1.99</v>
      </c>
      <c r="I9" s="108"/>
      <c r="J9" s="6" t="s">
        <v>113</v>
      </c>
      <c r="K9" s="107">
        <f>IFERROR(IF(Tabela1518[[#This Row],[Id da Venda]]=B12,0,VLOOKUP(Tabela1518[[#This Row],[Entrega]],Calculos!$B$5:$C$9,2,0)),0)</f>
        <v>0</v>
      </c>
      <c r="L9" s="107">
        <f>Tabela1518[[#This Row],[SubTotal]]*(1-Tabela1518[[#This Row],[Desconto]])+Tabela1518[[#This Row],[Valor da Entrega]]</f>
        <v>1.99</v>
      </c>
      <c r="M9" s="107">
        <f>IF(Tabela1518[[#This Row],[Id da Venda]]=B10,0,SUMIF(Tabela1518[Id da Venda],Tabela1518[[#This Row],[Id da Venda]],Tabela1518[Total]))</f>
        <v>5.4399999999999995</v>
      </c>
    </row>
    <row r="10" spans="1:21" ht="21" x14ac:dyDescent="0.35">
      <c r="B10" s="38" t="s">
        <v>117</v>
      </c>
      <c r="C10" s="17"/>
      <c r="D10" s="17"/>
      <c r="E10" s="17"/>
      <c r="F10" s="17"/>
      <c r="G10" s="18"/>
      <c r="H10" s="17"/>
      <c r="I10" s="18"/>
      <c r="J10" s="17"/>
      <c r="K10" s="17"/>
      <c r="L10" s="18"/>
      <c r="M10" s="39">
        <f>SUM(Tabela1518[Total])</f>
        <v>42.390000000000008</v>
      </c>
    </row>
    <row r="11" spans="1:21" ht="21" x14ac:dyDescent="0.35">
      <c r="B11" s="38" t="s">
        <v>118</v>
      </c>
      <c r="C11" s="38"/>
      <c r="D11" s="17"/>
      <c r="E11" s="17"/>
      <c r="F11" s="17"/>
      <c r="G11" s="18"/>
      <c r="H11" s="17"/>
      <c r="I11" s="18"/>
      <c r="J11" s="17"/>
      <c r="K11" s="17"/>
      <c r="L11" s="18"/>
      <c r="M11" s="39">
        <f>SUM(Tabela1518[Valor da Entrega])</f>
        <v>13</v>
      </c>
    </row>
    <row r="12" spans="1:21" ht="21" x14ac:dyDescent="0.35">
      <c r="B12" s="38" t="s">
        <v>135</v>
      </c>
      <c r="C12" s="38"/>
      <c r="D12" s="17"/>
      <c r="E12" s="17"/>
      <c r="F12" s="17"/>
      <c r="G12" s="18"/>
      <c r="H12" s="17"/>
      <c r="I12" s="18"/>
      <c r="J12" s="17"/>
      <c r="K12" s="17"/>
      <c r="L12" s="18"/>
      <c r="M12" s="77">
        <f>SUM(IF(FREQUENCY(Tabela1518[Id da Venda],Tabela1518[Id da Venda])&gt;0,1,0))</f>
        <v>4</v>
      </c>
    </row>
  </sheetData>
  <phoneticPr fontId="9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331AE9F-5EFC-4E5A-A7B1-CE084B69C546}">
          <x14:formula1>
            <xm:f>Calculos!$J$5:$J$28</xm:f>
          </x14:formula1>
          <xm:sqref>D5:D9</xm:sqref>
        </x14:dataValidation>
        <x14:dataValidation type="list" allowBlank="1" showInputMessage="1" showErrorMessage="1" xr:uid="{7AD9C607-4EC7-4F13-95B8-5A5A69A67F40}">
          <x14:formula1>
            <xm:f>Calculos!$B$5:$B$9</xm:f>
          </x14:formula1>
          <xm:sqref>J5:J9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CD35F-9FBA-4301-A6F6-79ACA8E56246}">
  <dimension ref="A3:I12"/>
  <sheetViews>
    <sheetView showGridLines="0" workbookViewId="0">
      <selection activeCell="K4" sqref="K4"/>
    </sheetView>
  </sheetViews>
  <sheetFormatPr defaultRowHeight="15" x14ac:dyDescent="0.25"/>
  <cols>
    <col min="1" max="1" width="18" bestFit="1" customWidth="1"/>
    <col min="2" max="2" width="19.7109375" bestFit="1" customWidth="1"/>
    <col min="3" max="3" width="13.5703125" bestFit="1" customWidth="1"/>
    <col min="6" max="6" width="18" bestFit="1" customWidth="1"/>
    <col min="7" max="7" width="19.7109375" bestFit="1" customWidth="1"/>
    <col min="8" max="8" width="23.85546875" bestFit="1" customWidth="1"/>
    <col min="9" max="9" width="13.5703125" bestFit="1" customWidth="1"/>
  </cols>
  <sheetData>
    <row r="3" spans="1:9" x14ac:dyDescent="0.25">
      <c r="A3" s="110" t="s">
        <v>148</v>
      </c>
      <c r="B3" t="s">
        <v>150</v>
      </c>
      <c r="C3" t="s">
        <v>151</v>
      </c>
      <c r="F3" s="110" t="s">
        <v>148</v>
      </c>
      <c r="G3" t="s">
        <v>150</v>
      </c>
      <c r="H3" t="s">
        <v>152</v>
      </c>
      <c r="I3" t="s">
        <v>151</v>
      </c>
    </row>
    <row r="4" spans="1:9" x14ac:dyDescent="0.25">
      <c r="A4" s="111">
        <v>45047</v>
      </c>
      <c r="B4" s="41">
        <v>4</v>
      </c>
      <c r="C4" s="9">
        <v>4.5999999999999996</v>
      </c>
      <c r="F4" s="113" t="s">
        <v>113</v>
      </c>
      <c r="G4" s="41">
        <v>8</v>
      </c>
      <c r="H4" s="9">
        <v>0</v>
      </c>
      <c r="I4" s="9">
        <v>10.039999999999999</v>
      </c>
    </row>
    <row r="5" spans="1:9" x14ac:dyDescent="0.25">
      <c r="A5" s="112" t="s">
        <v>31</v>
      </c>
      <c r="B5" s="41">
        <v>4</v>
      </c>
      <c r="C5" s="9">
        <v>4.5999999999999996</v>
      </c>
      <c r="F5" s="113" t="s">
        <v>114</v>
      </c>
      <c r="G5" s="41">
        <v>5</v>
      </c>
      <c r="H5" s="9">
        <v>6.5</v>
      </c>
      <c r="I5" s="9">
        <v>18.950000000000003</v>
      </c>
    </row>
    <row r="6" spans="1:9" x14ac:dyDescent="0.25">
      <c r="A6" s="111">
        <v>45045</v>
      </c>
      <c r="B6" s="41">
        <v>7</v>
      </c>
      <c r="C6" s="9">
        <v>32.35</v>
      </c>
      <c r="F6" s="113" t="s">
        <v>116</v>
      </c>
      <c r="G6" s="41">
        <v>2</v>
      </c>
      <c r="H6" s="9">
        <v>6.5</v>
      </c>
      <c r="I6" s="9">
        <v>13.4</v>
      </c>
    </row>
    <row r="7" spans="1:9" x14ac:dyDescent="0.25">
      <c r="A7" s="112" t="s">
        <v>19</v>
      </c>
      <c r="B7" s="41">
        <v>5</v>
      </c>
      <c r="C7" s="9">
        <v>18.950000000000003</v>
      </c>
      <c r="F7" s="113" t="s">
        <v>149</v>
      </c>
      <c r="G7" s="41">
        <v>15</v>
      </c>
      <c r="H7" s="9">
        <v>13</v>
      </c>
      <c r="I7" s="9">
        <v>42.39</v>
      </c>
    </row>
    <row r="8" spans="1:9" x14ac:dyDescent="0.25">
      <c r="A8" s="112" t="s">
        <v>28</v>
      </c>
      <c r="B8" s="41">
        <v>2</v>
      </c>
      <c r="C8" s="9">
        <v>13.4</v>
      </c>
    </row>
    <row r="9" spans="1:9" x14ac:dyDescent="0.25">
      <c r="A9" s="111">
        <v>42187</v>
      </c>
      <c r="B9" s="41">
        <v>4</v>
      </c>
      <c r="C9" s="9">
        <v>5.4399999999999995</v>
      </c>
    </row>
    <row r="10" spans="1:9" x14ac:dyDescent="0.25">
      <c r="A10" s="112" t="s">
        <v>36</v>
      </c>
      <c r="B10" s="41">
        <v>1</v>
      </c>
      <c r="C10" s="9">
        <v>1.99</v>
      </c>
    </row>
    <row r="11" spans="1:9" x14ac:dyDescent="0.25">
      <c r="A11" s="112" t="s">
        <v>31</v>
      </c>
      <c r="B11" s="41">
        <v>3</v>
      </c>
      <c r="C11" s="9">
        <v>3.4499999999999997</v>
      </c>
    </row>
    <row r="12" spans="1:9" x14ac:dyDescent="0.25">
      <c r="A12" s="111" t="s">
        <v>149</v>
      </c>
      <c r="B12" s="41">
        <v>15</v>
      </c>
      <c r="C12" s="9">
        <v>42.390000000000008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3D9DA-3741-4801-AC40-AE6F1939832F}">
  <sheetPr codeName="Planilha11"/>
  <dimension ref="A2:U9"/>
  <sheetViews>
    <sheetView showGridLines="0" workbookViewId="0">
      <selection activeCell="J5" sqref="J5"/>
    </sheetView>
  </sheetViews>
  <sheetFormatPr defaultRowHeight="15" x14ac:dyDescent="0.25"/>
  <cols>
    <col min="1" max="1" width="11.7109375" customWidth="1"/>
    <col min="2" max="2" width="23.7109375" bestFit="1" customWidth="1"/>
    <col min="3" max="3" width="10.7109375" bestFit="1" customWidth="1"/>
    <col min="4" max="4" width="10.28515625" customWidth="1"/>
    <col min="5" max="5" width="9.85546875" customWidth="1"/>
    <col min="6" max="6" width="13.5703125" customWidth="1"/>
    <col min="7" max="7" width="15.7109375" customWidth="1"/>
    <col min="8" max="8" width="10.85546875" customWidth="1"/>
    <col min="9" max="10" width="11.42578125" customWidth="1"/>
    <col min="11" max="11" width="17.5703125" customWidth="1"/>
    <col min="12" max="12" width="10.5703125" bestFit="1" customWidth="1"/>
    <col min="13" max="13" width="18.7109375" customWidth="1"/>
  </cols>
  <sheetData>
    <row r="2" spans="1:21" s="4" customFormat="1" ht="27.95" customHeight="1" x14ac:dyDescent="0.25">
      <c r="A2" s="34"/>
      <c r="B2" s="35" t="s">
        <v>121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</row>
    <row r="3" spans="1:21" ht="31.5" customHeight="1" x14ac:dyDescent="0.25"/>
    <row r="4" spans="1:21" x14ac:dyDescent="0.25">
      <c r="B4" s="37" t="s">
        <v>104</v>
      </c>
      <c r="C4" s="37" t="s">
        <v>43</v>
      </c>
      <c r="D4" s="37" t="s">
        <v>96</v>
      </c>
      <c r="E4" s="37" t="s">
        <v>57</v>
      </c>
      <c r="F4" s="37" t="s">
        <v>58</v>
      </c>
      <c r="G4" s="37" t="s">
        <v>59</v>
      </c>
      <c r="H4" s="37" t="s">
        <v>105</v>
      </c>
      <c r="I4" s="37" t="s">
        <v>60</v>
      </c>
      <c r="J4" s="37" t="s">
        <v>106</v>
      </c>
      <c r="K4" s="37" t="s">
        <v>107</v>
      </c>
      <c r="L4" s="37" t="s">
        <v>108</v>
      </c>
      <c r="M4" s="37" t="s">
        <v>109</v>
      </c>
    </row>
    <row r="5" spans="1:21" x14ac:dyDescent="0.25">
      <c r="B5">
        <v>1</v>
      </c>
      <c r="C5" s="15">
        <f ca="1">TODAY()</f>
        <v>45047</v>
      </c>
      <c r="D5" t="s">
        <v>29</v>
      </c>
      <c r="E5" t="str">
        <f>IFERROR(VLOOKUP(Tabela1519[[#This Row],[Produto]],Calculos!$J$5:$M$33,4,FALSE),"")</f>
        <v>Kg</v>
      </c>
      <c r="F5">
        <v>5</v>
      </c>
      <c r="G5" s="8">
        <f>IFERROR(VLOOKUP(Tabela1519[[#This Row],[Produto]],Calculos!$J$5:$M$33,3,FALSE),0)</f>
        <v>3.99</v>
      </c>
      <c r="H5" s="8">
        <f>IFERROR(Tabela1519[[#This Row],[Quantidade]]*Tabela1519[[#This Row],[Preço Unitário]],"")</f>
        <v>19.950000000000003</v>
      </c>
      <c r="I5" s="14"/>
      <c r="J5" t="s">
        <v>114</v>
      </c>
      <c r="K5" s="8">
        <f>IFERROR(IF(Tabela1519[[#This Row],[Id da Venda]]=B8,0,VLOOKUP(Tabela1519[[#This Row],[Entrega]],Calculos!$B$5:$C$9,2,0)),0)</f>
        <v>6.5</v>
      </c>
      <c r="L5" s="8">
        <f>Tabela1519[[#This Row],[SubTotal]]*(1-Tabela1519[[#This Row],[Desconto]])+Tabela1519[[#This Row],[Valor da Entrega]]</f>
        <v>26.450000000000003</v>
      </c>
      <c r="M5" s="8">
        <f>IF(Tabela1518[[#This Row],[Id da Venda]]=B6,0,SUMIF(Tabela1519[Id da Venda],Tabela1519[[#This Row],[Id da Venda]],Tabela1519[Total]))</f>
        <v>26.450000000000003</v>
      </c>
    </row>
    <row r="7" spans="1:21" ht="21" x14ac:dyDescent="0.35">
      <c r="B7" s="38" t="s">
        <v>117</v>
      </c>
      <c r="C7" s="17"/>
      <c r="D7" s="17"/>
      <c r="E7" s="17"/>
      <c r="F7" s="17"/>
      <c r="G7" s="18"/>
      <c r="H7" s="17"/>
      <c r="I7" s="18"/>
      <c r="J7" s="17"/>
      <c r="K7" s="17"/>
      <c r="L7" s="18"/>
      <c r="M7" s="39">
        <f>SUM(Tabela1519[Total])</f>
        <v>26.450000000000003</v>
      </c>
    </row>
    <row r="8" spans="1:21" ht="21" x14ac:dyDescent="0.35">
      <c r="B8" s="38" t="s">
        <v>118</v>
      </c>
      <c r="C8" s="38"/>
      <c r="D8" s="17"/>
      <c r="E8" s="17"/>
      <c r="F8" s="17"/>
      <c r="G8" s="18"/>
      <c r="H8" s="17"/>
      <c r="I8" s="18"/>
      <c r="J8" s="17"/>
      <c r="K8" s="17"/>
      <c r="L8" s="18"/>
      <c r="M8" s="39">
        <f>SUM(Tabela1519[Valor da Entrega])</f>
        <v>6.5</v>
      </c>
    </row>
    <row r="9" spans="1:21" ht="21" x14ac:dyDescent="0.35">
      <c r="B9" s="38" t="s">
        <v>135</v>
      </c>
      <c r="C9" s="38"/>
      <c r="D9" s="17"/>
      <c r="E9" s="17"/>
      <c r="F9" s="17"/>
      <c r="G9" s="18"/>
      <c r="H9" s="17"/>
      <c r="I9" s="18"/>
      <c r="J9" s="17"/>
      <c r="K9" s="17"/>
      <c r="L9" s="18"/>
      <c r="M9" s="77">
        <f>SUM(IF(FREQUENCY(Tabela1519[Id da Venda],Tabela1519[Id da Venda])&gt;0,1,0))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361CE83-BE97-44F5-978F-5538BF85652A}">
          <x14:formula1>
            <xm:f>Calculos!$J$5:$J$28</xm:f>
          </x14:formula1>
          <xm:sqref>D5</xm:sqref>
        </x14:dataValidation>
        <x14:dataValidation type="list" allowBlank="1" showInputMessage="1" showErrorMessage="1" xr:uid="{04519120-6382-401D-9E16-908BD93C8EBB}">
          <x14:formula1>
            <xm:f>Calculos!$B$5:$B$9</xm:f>
          </x14:formula1>
          <xm:sqref>J5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4769B-FBDD-4C3E-B5F6-1722736C1BD4}">
  <dimension ref="A3:I6"/>
  <sheetViews>
    <sheetView showGridLines="0" workbookViewId="0">
      <selection activeCell="K3" sqref="K3"/>
    </sheetView>
  </sheetViews>
  <sheetFormatPr defaultRowHeight="15" x14ac:dyDescent="0.25"/>
  <cols>
    <col min="1" max="1" width="18" bestFit="1" customWidth="1"/>
    <col min="2" max="2" width="19.7109375" bestFit="1" customWidth="1"/>
    <col min="3" max="3" width="13.5703125" bestFit="1" customWidth="1"/>
    <col min="6" max="6" width="18" bestFit="1" customWidth="1"/>
    <col min="7" max="7" width="19.7109375" bestFit="1" customWidth="1"/>
    <col min="8" max="8" width="23.85546875" bestFit="1" customWidth="1"/>
    <col min="9" max="9" width="13.5703125" bestFit="1" customWidth="1"/>
  </cols>
  <sheetData>
    <row r="3" spans="1:9" x14ac:dyDescent="0.25">
      <c r="A3" s="110" t="s">
        <v>148</v>
      </c>
      <c r="B3" t="s">
        <v>150</v>
      </c>
      <c r="C3" t="s">
        <v>151</v>
      </c>
      <c r="F3" s="110" t="s">
        <v>148</v>
      </c>
      <c r="G3" t="s">
        <v>150</v>
      </c>
      <c r="H3" t="s">
        <v>152</v>
      </c>
      <c r="I3" t="s">
        <v>151</v>
      </c>
    </row>
    <row r="4" spans="1:9" x14ac:dyDescent="0.25">
      <c r="A4" s="111">
        <v>45047</v>
      </c>
      <c r="B4" s="41">
        <v>5</v>
      </c>
      <c r="C4" s="9">
        <v>26.450000000000003</v>
      </c>
      <c r="F4" s="113" t="s">
        <v>114</v>
      </c>
      <c r="G4" s="41">
        <v>5</v>
      </c>
      <c r="H4" s="9">
        <v>6.5</v>
      </c>
      <c r="I4" s="9">
        <v>26.450000000000003</v>
      </c>
    </row>
    <row r="5" spans="1:9" x14ac:dyDescent="0.25">
      <c r="A5" s="112" t="s">
        <v>29</v>
      </c>
      <c r="B5" s="41">
        <v>5</v>
      </c>
      <c r="C5" s="9">
        <v>26.450000000000003</v>
      </c>
      <c r="F5" s="113" t="s">
        <v>149</v>
      </c>
      <c r="G5" s="41">
        <v>5</v>
      </c>
      <c r="H5" s="9">
        <v>6.5</v>
      </c>
      <c r="I5" s="9">
        <v>26.450000000000003</v>
      </c>
    </row>
    <row r="6" spans="1:9" x14ac:dyDescent="0.25">
      <c r="A6" s="111" t="s">
        <v>149</v>
      </c>
      <c r="B6" s="41">
        <v>5</v>
      </c>
      <c r="C6" s="9">
        <v>26.450000000000003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11531-BA90-4BE1-A020-1B6DED04912C}">
  <sheetPr codeName="Planilha12"/>
  <dimension ref="A2:U11"/>
  <sheetViews>
    <sheetView showGridLines="0" workbookViewId="0">
      <selection activeCell="K3" sqref="K3"/>
    </sheetView>
  </sheetViews>
  <sheetFormatPr defaultRowHeight="15" x14ac:dyDescent="0.25"/>
  <cols>
    <col min="1" max="1" width="11.7109375" customWidth="1"/>
    <col min="2" max="2" width="23.7109375" bestFit="1" customWidth="1"/>
    <col min="3" max="3" width="10.7109375" bestFit="1" customWidth="1"/>
    <col min="4" max="4" width="15.7109375" bestFit="1" customWidth="1"/>
    <col min="5" max="5" width="10.140625" bestFit="1" customWidth="1"/>
    <col min="6" max="6" width="13.5703125" customWidth="1"/>
    <col min="7" max="7" width="15.7109375" customWidth="1"/>
    <col min="8" max="8" width="10.85546875" customWidth="1"/>
    <col min="9" max="10" width="11.42578125" customWidth="1"/>
    <col min="11" max="11" width="17.5703125" customWidth="1"/>
    <col min="12" max="12" width="9.5703125" bestFit="1" customWidth="1"/>
    <col min="13" max="13" width="18.7109375" customWidth="1"/>
  </cols>
  <sheetData>
    <row r="2" spans="1:21" s="4" customFormat="1" ht="27.95" customHeight="1" x14ac:dyDescent="0.25">
      <c r="A2" s="34"/>
      <c r="B2" s="35" t="s">
        <v>122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</row>
    <row r="3" spans="1:21" ht="31.5" customHeight="1" x14ac:dyDescent="0.25"/>
    <row r="4" spans="1:21" x14ac:dyDescent="0.25">
      <c r="B4" s="6" t="s">
        <v>104</v>
      </c>
      <c r="C4" s="6" t="s">
        <v>43</v>
      </c>
      <c r="D4" s="6" t="s">
        <v>96</v>
      </c>
      <c r="E4" s="6" t="s">
        <v>57</v>
      </c>
      <c r="F4" s="6" t="s">
        <v>58</v>
      </c>
      <c r="G4" s="6" t="s">
        <v>59</v>
      </c>
      <c r="H4" s="6" t="s">
        <v>105</v>
      </c>
      <c r="I4" s="6" t="s">
        <v>60</v>
      </c>
      <c r="J4" s="6" t="s">
        <v>106</v>
      </c>
      <c r="K4" s="6" t="s">
        <v>107</v>
      </c>
      <c r="L4" s="6" t="s">
        <v>108</v>
      </c>
      <c r="M4" s="6" t="s">
        <v>109</v>
      </c>
    </row>
    <row r="5" spans="1:21" x14ac:dyDescent="0.25">
      <c r="B5" s="6">
        <v>3</v>
      </c>
      <c r="C5" s="105">
        <v>45045</v>
      </c>
      <c r="D5" s="6" t="s">
        <v>29</v>
      </c>
      <c r="E5" s="106" t="str">
        <f>IFERROR(VLOOKUP(Tabela1520[[#This Row],[Produto]],Calculos!$J$5:$M$33,4,FALSE),"")</f>
        <v>Kg</v>
      </c>
      <c r="F5" s="6">
        <v>1</v>
      </c>
      <c r="G5" s="107">
        <f>IFERROR(VLOOKUP(Tabela1520[[#This Row],[Produto]],Calculos!$J$5:$M$33,3,FALSE),0)</f>
        <v>3.99</v>
      </c>
      <c r="H5" s="107">
        <f>IFERROR(Tabela1520[[#This Row],[Quantidade]]*Tabela1520[[#This Row],[Preço Unitário]],"")</f>
        <v>3.99</v>
      </c>
      <c r="I5" s="108"/>
      <c r="J5" s="6" t="s">
        <v>115</v>
      </c>
      <c r="K5" s="107">
        <f>IFERROR(IF(Tabela1520[[#This Row],[Id da Venda]]=B6,0,VLOOKUP(Tabela1520[[#This Row],[Entrega]],Calculos!$B$5:$C$9,2,0)),0)</f>
        <v>8</v>
      </c>
      <c r="L5" s="107">
        <f>Tabela1520[[#This Row],[SubTotal]]*(1-Tabela1520[[#This Row],[Desconto]])+Tabela1520[[#This Row],[Valor da Entrega]]</f>
        <v>11.99</v>
      </c>
      <c r="M5" s="107">
        <f>IF(Tabela1520[[#This Row],[Id da Venda]]=B6,0,SUMIF(Tabela1520[Id da Venda],Tabela1520[[#This Row],[Id da Venda]],Tabela1520[Total]))</f>
        <v>11.99</v>
      </c>
    </row>
    <row r="6" spans="1:21" x14ac:dyDescent="0.25">
      <c r="B6" s="6">
        <v>2</v>
      </c>
      <c r="C6" s="105">
        <v>45045</v>
      </c>
      <c r="D6" s="6" t="s">
        <v>19</v>
      </c>
      <c r="E6" s="106" t="str">
        <f>IFERROR(VLOOKUP(Tabela1520[[#This Row],[Produto]],Calculos!$J$5:$M$33,4,FALSE),"")</f>
        <v>Kg</v>
      </c>
      <c r="F6" s="6">
        <v>5</v>
      </c>
      <c r="G6" s="107">
        <f>IFERROR(VLOOKUP(Tabela1520[[#This Row],[Produto]],Calculos!$J$5:$M$33,3,FALSE),0)</f>
        <v>2.4900000000000002</v>
      </c>
      <c r="H6" s="107">
        <f>IFERROR(Tabela1520[[#This Row],[Quantidade]]*Tabela1520[[#This Row],[Preço Unitário]],"")</f>
        <v>12.450000000000001</v>
      </c>
      <c r="I6" s="108"/>
      <c r="J6" s="6" t="s">
        <v>116</v>
      </c>
      <c r="K6" s="107">
        <f>IFERROR(IF(Tabela1520[[#This Row],[Id da Venda]]=B7,0,VLOOKUP(Tabela1520[[#This Row],[Entrega]],Calculos!$B$5:$C$9,2,0)),0)</f>
        <v>6.5</v>
      </c>
      <c r="L6" s="107">
        <f>Tabela1520[[#This Row],[SubTotal]]*(1-Tabela1520[[#This Row],[Desconto]])+Tabela1520[[#This Row],[Valor da Entrega]]</f>
        <v>18.950000000000003</v>
      </c>
      <c r="M6" s="107">
        <f>IF(Tabela1520[[#This Row],[Id da Venda]]=B7,0,SUMIF(Tabela1520[Id da Venda],Tabela1520[[#This Row],[Id da Venda]],Tabela1520[Total]))</f>
        <v>18.950000000000003</v>
      </c>
    </row>
    <row r="7" spans="1:21" x14ac:dyDescent="0.25">
      <c r="B7">
        <v>1</v>
      </c>
      <c r="C7" s="40">
        <v>42187</v>
      </c>
      <c r="D7" t="s">
        <v>32</v>
      </c>
      <c r="E7" s="41" t="str">
        <f>IFERROR(VLOOKUP(Tabela1520[[#This Row],[Produto]],Calculos!$J$5:$M$33,4,FALSE),"")</f>
        <v>Lata</v>
      </c>
      <c r="F7">
        <v>1</v>
      </c>
      <c r="G7" s="42">
        <f>IFERROR(VLOOKUP(Tabela1520[[#This Row],[Produto]],Calculos!$J$5:$M$33,3,FALSE),0)</f>
        <v>2.19</v>
      </c>
      <c r="H7" s="42">
        <f>IFERROR(Tabela1520[[#This Row],[Quantidade]]*Tabela1520[[#This Row],[Preço Unitário]],"")</f>
        <v>2.19</v>
      </c>
      <c r="I7" s="14"/>
      <c r="J7" t="s">
        <v>113</v>
      </c>
      <c r="K7" s="42">
        <f>IFERROR(IF(Tabela1520[[#This Row],[Id da Venda]]=B8,0,VLOOKUP(Tabela1520[[#This Row],[Entrega]],Calculos!$B$5:$C$9,2,0)),0)</f>
        <v>0</v>
      </c>
      <c r="L7" s="42">
        <f>Tabela1520[[#This Row],[SubTotal]]*(1-Tabela1520[[#This Row],[Desconto]])+Tabela1520[[#This Row],[Valor da Entrega]]</f>
        <v>2.19</v>
      </c>
      <c r="M7" s="42">
        <f>IF(Tabela1520[[#This Row],[Id da Venda]]=B8,0,SUMIF(Tabela1520[Id da Venda],Tabela1520[[#This Row],[Id da Venda]],Tabela1520[Total]))</f>
        <v>2.19</v>
      </c>
    </row>
    <row r="9" spans="1:21" ht="21" x14ac:dyDescent="0.35">
      <c r="B9" s="38" t="s">
        <v>117</v>
      </c>
      <c r="C9" s="17"/>
      <c r="D9" s="17"/>
      <c r="E9" s="17"/>
      <c r="F9" s="17"/>
      <c r="G9" s="18"/>
      <c r="H9" s="17"/>
      <c r="I9" s="18"/>
      <c r="J9" s="17"/>
      <c r="K9" s="17"/>
      <c r="L9" s="18"/>
      <c r="M9" s="39">
        <f>SUM(Tabela1520[Total])</f>
        <v>33.130000000000003</v>
      </c>
    </row>
    <row r="10" spans="1:21" ht="21" x14ac:dyDescent="0.35">
      <c r="B10" s="38" t="s">
        <v>118</v>
      </c>
      <c r="C10" s="38"/>
      <c r="D10" s="17"/>
      <c r="E10" s="17"/>
      <c r="F10" s="17"/>
      <c r="G10" s="18"/>
      <c r="H10" s="17"/>
      <c r="I10" s="18"/>
      <c r="J10" s="17"/>
      <c r="K10" s="17"/>
      <c r="L10" s="18"/>
      <c r="M10" s="39">
        <f>SUM(Tabela1520[Valor da Entrega])</f>
        <v>14.5</v>
      </c>
    </row>
    <row r="11" spans="1:21" ht="21" x14ac:dyDescent="0.35">
      <c r="B11" s="38" t="s">
        <v>135</v>
      </c>
      <c r="C11" s="38"/>
      <c r="D11" s="17"/>
      <c r="E11" s="17"/>
      <c r="F11" s="17"/>
      <c r="G11" s="18"/>
      <c r="H11" s="17"/>
      <c r="I11" s="18"/>
      <c r="J11" s="17"/>
      <c r="K11" s="17"/>
      <c r="L11" s="18"/>
      <c r="M11" s="77">
        <f>SUM(IF(FREQUENCY(Tabela1520[Id da Venda],Tabela1520[Id da Venda])&gt;0,1,0))</f>
        <v>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6E17955-31A4-4F7B-8075-50E624F53AB3}">
          <x14:formula1>
            <xm:f>Calculos!$B$5:$B$9</xm:f>
          </x14:formula1>
          <xm:sqref>J5:J7</xm:sqref>
        </x14:dataValidation>
        <x14:dataValidation type="list" allowBlank="1" showInputMessage="1" showErrorMessage="1" xr:uid="{E4B798A6-6EB5-43C4-87AF-F2C77CF091EB}">
          <x14:formula1>
            <xm:f>Calculos!$J$5:$J$33</xm:f>
          </x14:formula1>
          <xm:sqref>D5:D7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2641E-14A5-4314-ACDA-2C09B175630D}">
  <dimension ref="A3:I10"/>
  <sheetViews>
    <sheetView showGridLines="0" workbookViewId="0">
      <selection activeCell="L4" sqref="L4"/>
    </sheetView>
  </sheetViews>
  <sheetFormatPr defaultRowHeight="15" x14ac:dyDescent="0.25"/>
  <cols>
    <col min="1" max="1" width="18" bestFit="1" customWidth="1"/>
    <col min="2" max="2" width="19.7109375" bestFit="1" customWidth="1"/>
    <col min="3" max="3" width="13.5703125" bestFit="1" customWidth="1"/>
    <col min="6" max="6" width="18" bestFit="1" customWidth="1"/>
    <col min="7" max="7" width="19.7109375" bestFit="1" customWidth="1"/>
    <col min="8" max="8" width="23.85546875" bestFit="1" customWidth="1"/>
    <col min="9" max="9" width="13.5703125" bestFit="1" customWidth="1"/>
  </cols>
  <sheetData>
    <row r="3" spans="1:9" x14ac:dyDescent="0.25">
      <c r="A3" s="110" t="s">
        <v>148</v>
      </c>
      <c r="B3" t="s">
        <v>150</v>
      </c>
      <c r="C3" t="s">
        <v>151</v>
      </c>
      <c r="F3" s="110" t="s">
        <v>148</v>
      </c>
      <c r="G3" t="s">
        <v>150</v>
      </c>
      <c r="H3" t="s">
        <v>152</v>
      </c>
      <c r="I3" t="s">
        <v>151</v>
      </c>
    </row>
    <row r="4" spans="1:9" x14ac:dyDescent="0.25">
      <c r="A4" s="111">
        <v>45045</v>
      </c>
      <c r="B4" s="41">
        <v>6</v>
      </c>
      <c r="C4" s="9">
        <v>30.940000000000005</v>
      </c>
      <c r="F4" s="113" t="s">
        <v>115</v>
      </c>
      <c r="G4" s="41">
        <v>1</v>
      </c>
      <c r="H4" s="9">
        <v>8</v>
      </c>
      <c r="I4" s="9">
        <v>11.99</v>
      </c>
    </row>
    <row r="5" spans="1:9" x14ac:dyDescent="0.25">
      <c r="A5" s="112" t="s">
        <v>29</v>
      </c>
      <c r="B5" s="41">
        <v>1</v>
      </c>
      <c r="C5" s="9">
        <v>11.99</v>
      </c>
      <c r="F5" s="112" t="s">
        <v>29</v>
      </c>
      <c r="G5" s="41">
        <v>1</v>
      </c>
      <c r="H5" s="9">
        <v>8</v>
      </c>
      <c r="I5" s="9">
        <v>11.99</v>
      </c>
    </row>
    <row r="6" spans="1:9" x14ac:dyDescent="0.25">
      <c r="A6" s="112" t="s">
        <v>19</v>
      </c>
      <c r="B6" s="41">
        <v>5</v>
      </c>
      <c r="C6" s="9">
        <v>18.950000000000003</v>
      </c>
      <c r="F6" s="113" t="s">
        <v>116</v>
      </c>
      <c r="G6" s="41">
        <v>5</v>
      </c>
      <c r="H6" s="9">
        <v>6.5</v>
      </c>
      <c r="I6" s="9">
        <v>18.950000000000003</v>
      </c>
    </row>
    <row r="7" spans="1:9" x14ac:dyDescent="0.25">
      <c r="A7" s="111">
        <v>42187</v>
      </c>
      <c r="B7" s="41">
        <v>1</v>
      </c>
      <c r="C7" s="9">
        <v>2.19</v>
      </c>
      <c r="F7" s="112" t="s">
        <v>19</v>
      </c>
      <c r="G7" s="41">
        <v>5</v>
      </c>
      <c r="H7" s="9">
        <v>6.5</v>
      </c>
      <c r="I7" s="9">
        <v>18.950000000000003</v>
      </c>
    </row>
    <row r="8" spans="1:9" x14ac:dyDescent="0.25">
      <c r="A8" s="112" t="s">
        <v>32</v>
      </c>
      <c r="B8" s="41">
        <v>1</v>
      </c>
      <c r="C8" s="9">
        <v>2.19</v>
      </c>
      <c r="F8" s="113" t="s">
        <v>113</v>
      </c>
      <c r="G8" s="41">
        <v>1</v>
      </c>
      <c r="H8" s="9">
        <v>0</v>
      </c>
      <c r="I8" s="9">
        <v>2.19</v>
      </c>
    </row>
    <row r="9" spans="1:9" x14ac:dyDescent="0.25">
      <c r="A9" s="111" t="s">
        <v>149</v>
      </c>
      <c r="B9" s="41">
        <v>7</v>
      </c>
      <c r="C9" s="9">
        <v>33.130000000000003</v>
      </c>
      <c r="F9" s="112" t="s">
        <v>32</v>
      </c>
      <c r="G9" s="41">
        <v>1</v>
      </c>
      <c r="H9" s="9">
        <v>0</v>
      </c>
      <c r="I9" s="9">
        <v>2.19</v>
      </c>
    </row>
    <row r="10" spans="1:9" x14ac:dyDescent="0.25">
      <c r="F10" s="113" t="s">
        <v>149</v>
      </c>
      <c r="G10" s="41">
        <v>7</v>
      </c>
      <c r="H10" s="9">
        <v>14.5</v>
      </c>
      <c r="I10" s="9">
        <v>33.130000000000003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3"/>
  <dimension ref="B4:M28"/>
  <sheetViews>
    <sheetView topLeftCell="A4" workbookViewId="0">
      <selection activeCell="M5" sqref="M5"/>
    </sheetView>
  </sheetViews>
  <sheetFormatPr defaultRowHeight="15" x14ac:dyDescent="0.25"/>
  <cols>
    <col min="2" max="2" width="18.140625" bestFit="1" customWidth="1"/>
    <col min="10" max="10" width="15.7109375" bestFit="1" customWidth="1"/>
    <col min="11" max="11" width="26.42578125" bestFit="1" customWidth="1"/>
    <col min="12" max="12" width="25.28515625" bestFit="1" customWidth="1"/>
    <col min="13" max="13" width="10.140625" bestFit="1" customWidth="1"/>
  </cols>
  <sheetData>
    <row r="4" spans="2:13" x14ac:dyDescent="0.25">
      <c r="B4" s="16" t="s">
        <v>76</v>
      </c>
      <c r="C4" s="16" t="s">
        <v>111</v>
      </c>
      <c r="J4" s="16" t="s">
        <v>62</v>
      </c>
      <c r="K4" s="16" t="s">
        <v>63</v>
      </c>
      <c r="L4" s="16" t="s">
        <v>64</v>
      </c>
      <c r="M4" s="16" t="s">
        <v>57</v>
      </c>
    </row>
    <row r="5" spans="2:13" x14ac:dyDescent="0.25">
      <c r="B5" t="s">
        <v>112</v>
      </c>
      <c r="C5" s="8">
        <v>5</v>
      </c>
      <c r="J5" t="s">
        <v>22</v>
      </c>
      <c r="K5" s="8">
        <v>2.8405</v>
      </c>
      <c r="L5" s="8">
        <v>2.99</v>
      </c>
      <c r="M5" t="s">
        <v>65</v>
      </c>
    </row>
    <row r="6" spans="2:13" x14ac:dyDescent="0.25">
      <c r="B6" t="s">
        <v>113</v>
      </c>
      <c r="C6" s="8">
        <v>0</v>
      </c>
      <c r="J6" t="s">
        <v>31</v>
      </c>
      <c r="K6" s="8">
        <v>1.0580000000000001</v>
      </c>
      <c r="L6" s="8">
        <v>1.1499999999999999</v>
      </c>
      <c r="M6" t="s">
        <v>66</v>
      </c>
    </row>
    <row r="7" spans="2:13" x14ac:dyDescent="0.25">
      <c r="B7" t="s">
        <v>114</v>
      </c>
      <c r="C7" s="8">
        <v>6.5</v>
      </c>
      <c r="J7" t="s">
        <v>19</v>
      </c>
      <c r="K7" s="8">
        <v>2.3406000000000002</v>
      </c>
      <c r="L7" s="8">
        <v>2.4900000000000002</v>
      </c>
      <c r="M7" t="s">
        <v>67</v>
      </c>
    </row>
    <row r="8" spans="2:13" x14ac:dyDescent="0.25">
      <c r="B8" t="s">
        <v>115</v>
      </c>
      <c r="C8" s="8">
        <v>8</v>
      </c>
      <c r="J8" t="s">
        <v>36</v>
      </c>
      <c r="K8" s="8">
        <v>1.8506999999999998</v>
      </c>
      <c r="L8" s="8">
        <v>1.99</v>
      </c>
      <c r="M8" t="s">
        <v>66</v>
      </c>
    </row>
    <row r="9" spans="2:13" x14ac:dyDescent="0.25">
      <c r="B9" t="s">
        <v>116</v>
      </c>
      <c r="C9" s="8">
        <v>6.5</v>
      </c>
      <c r="J9" t="s">
        <v>39</v>
      </c>
      <c r="K9" s="8">
        <v>1.0924999999999998</v>
      </c>
      <c r="L9" s="8">
        <v>1.1499999999999999</v>
      </c>
      <c r="M9" t="s">
        <v>66</v>
      </c>
    </row>
    <row r="10" spans="2:13" x14ac:dyDescent="0.25">
      <c r="J10" t="s">
        <v>35</v>
      </c>
      <c r="K10" s="8">
        <v>0.74260000000000004</v>
      </c>
      <c r="L10" s="8">
        <v>0.79</v>
      </c>
      <c r="M10" t="s">
        <v>66</v>
      </c>
    </row>
    <row r="11" spans="2:13" x14ac:dyDescent="0.25">
      <c r="J11" t="s">
        <v>23</v>
      </c>
      <c r="K11" s="8">
        <v>14.469000000000001</v>
      </c>
      <c r="L11" s="8">
        <v>15.9</v>
      </c>
      <c r="M11" t="s">
        <v>67</v>
      </c>
    </row>
    <row r="12" spans="2:13" x14ac:dyDescent="0.25">
      <c r="J12" t="s">
        <v>29</v>
      </c>
      <c r="K12" s="8">
        <v>3.6309000000000005</v>
      </c>
      <c r="L12" s="8">
        <v>3.99</v>
      </c>
      <c r="M12" t="s">
        <v>67</v>
      </c>
    </row>
    <row r="13" spans="2:13" x14ac:dyDescent="0.25">
      <c r="J13" t="s">
        <v>32</v>
      </c>
      <c r="K13" s="8">
        <v>2.1023999999999998</v>
      </c>
      <c r="L13" s="8">
        <v>2.19</v>
      </c>
      <c r="M13" t="s">
        <v>70</v>
      </c>
    </row>
    <row r="14" spans="2:13" x14ac:dyDescent="0.25">
      <c r="J14" t="s">
        <v>37</v>
      </c>
      <c r="K14" s="8">
        <v>4.5409000000000006</v>
      </c>
      <c r="L14" s="8">
        <v>4.99</v>
      </c>
      <c r="M14" t="s">
        <v>71</v>
      </c>
    </row>
    <row r="15" spans="2:13" x14ac:dyDescent="0.25">
      <c r="J15" t="s">
        <v>38</v>
      </c>
      <c r="K15" s="8">
        <v>6.3449999999999998</v>
      </c>
      <c r="L15" s="8">
        <v>6.75</v>
      </c>
      <c r="M15" t="s">
        <v>72</v>
      </c>
    </row>
    <row r="16" spans="2:13" x14ac:dyDescent="0.25">
      <c r="J16" t="s">
        <v>34</v>
      </c>
      <c r="K16" s="8">
        <v>2.3660000000000001</v>
      </c>
      <c r="L16" s="8">
        <v>2.6</v>
      </c>
      <c r="M16" t="s">
        <v>65</v>
      </c>
    </row>
    <row r="17" spans="10:13" x14ac:dyDescent="0.25">
      <c r="J17" t="s">
        <v>20</v>
      </c>
      <c r="K17" s="8">
        <v>4.0659999999999998</v>
      </c>
      <c r="L17" s="8">
        <v>4.28</v>
      </c>
      <c r="M17" t="s">
        <v>67</v>
      </c>
    </row>
    <row r="18" spans="10:13" x14ac:dyDescent="0.25">
      <c r="J18" t="s">
        <v>24</v>
      </c>
      <c r="K18" s="8">
        <v>6.4216000000000006</v>
      </c>
      <c r="L18" s="8">
        <v>6.98</v>
      </c>
      <c r="M18" t="s">
        <v>67</v>
      </c>
    </row>
    <row r="19" spans="10:13" x14ac:dyDescent="0.25">
      <c r="J19" t="s">
        <v>68</v>
      </c>
      <c r="K19" s="8">
        <v>1.3708</v>
      </c>
      <c r="L19" s="8">
        <v>1.49</v>
      </c>
      <c r="M19" t="s">
        <v>69</v>
      </c>
    </row>
    <row r="20" spans="10:13" x14ac:dyDescent="0.25">
      <c r="J20" t="s">
        <v>73</v>
      </c>
      <c r="K20" s="8">
        <v>2.6299000000000001</v>
      </c>
      <c r="L20" s="8">
        <v>2.89</v>
      </c>
      <c r="M20" t="s">
        <v>65</v>
      </c>
    </row>
    <row r="21" spans="10:13" x14ac:dyDescent="0.25">
      <c r="J21" t="s">
        <v>25</v>
      </c>
      <c r="K21" s="8">
        <v>22.226999999999997</v>
      </c>
      <c r="L21" s="8">
        <v>23.9</v>
      </c>
      <c r="M21" t="s">
        <v>67</v>
      </c>
    </row>
    <row r="22" spans="10:13" x14ac:dyDescent="0.25">
      <c r="J22" t="s">
        <v>26</v>
      </c>
      <c r="K22" s="8">
        <v>23.827999999999999</v>
      </c>
      <c r="L22" s="8">
        <v>25.9</v>
      </c>
      <c r="M22" t="s">
        <v>67</v>
      </c>
    </row>
    <row r="23" spans="10:13" x14ac:dyDescent="0.25">
      <c r="J23" t="s">
        <v>74</v>
      </c>
      <c r="K23" s="8">
        <v>2.1749000000000001</v>
      </c>
      <c r="L23" s="8">
        <v>2.39</v>
      </c>
      <c r="M23" t="s">
        <v>69</v>
      </c>
    </row>
    <row r="24" spans="10:13" x14ac:dyDescent="0.25">
      <c r="J24" t="s">
        <v>28</v>
      </c>
      <c r="K24" s="8">
        <v>3.2084999999999999</v>
      </c>
      <c r="L24" s="8">
        <v>3.45</v>
      </c>
      <c r="M24" t="s">
        <v>69</v>
      </c>
    </row>
    <row r="25" spans="10:13" x14ac:dyDescent="0.25">
      <c r="J25" t="s">
        <v>21</v>
      </c>
      <c r="K25" s="8">
        <v>5.3544000000000009</v>
      </c>
      <c r="L25" s="8">
        <v>5.82</v>
      </c>
      <c r="M25" t="s">
        <v>67</v>
      </c>
    </row>
    <row r="26" spans="10:13" x14ac:dyDescent="0.25">
      <c r="J26" t="s">
        <v>30</v>
      </c>
      <c r="K26" s="8">
        <v>9.1009999999999991</v>
      </c>
      <c r="L26" s="8">
        <v>9.58</v>
      </c>
      <c r="M26" t="s">
        <v>67</v>
      </c>
    </row>
    <row r="27" spans="10:13" x14ac:dyDescent="0.25">
      <c r="J27" t="s">
        <v>27</v>
      </c>
      <c r="K27" s="8">
        <v>26.012999999999998</v>
      </c>
      <c r="L27" s="8">
        <v>29.9</v>
      </c>
      <c r="M27" t="s">
        <v>75</v>
      </c>
    </row>
    <row r="28" spans="10:13" x14ac:dyDescent="0.25">
      <c r="J28" t="s">
        <v>33</v>
      </c>
      <c r="K28" s="8">
        <v>46.664999999999999</v>
      </c>
      <c r="L28" s="8">
        <v>54.9</v>
      </c>
      <c r="M28" t="s">
        <v>75</v>
      </c>
    </row>
  </sheetData>
  <autoFilter ref="J4:M4" xr:uid="{00000000-0001-0000-0700-000000000000}">
    <sortState xmlns:xlrd2="http://schemas.microsoft.com/office/spreadsheetml/2017/richdata2" ref="J5:M28">
      <sortCondition ref="J4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1</vt:i4>
      </vt:variant>
    </vt:vector>
  </HeadingPairs>
  <TitlesOfParts>
    <vt:vector size="19" baseType="lpstr">
      <vt:lpstr>Menu</vt:lpstr>
      <vt:lpstr>Despesas </vt:lpstr>
      <vt:lpstr>Compras Mercadorias</vt:lpstr>
      <vt:lpstr>Investimentos</vt:lpstr>
      <vt:lpstr>Controle de Estoque</vt:lpstr>
      <vt:lpstr>Vendas</vt:lpstr>
      <vt:lpstr>Resultados</vt:lpstr>
      <vt:lpstr>Semana 1</vt:lpstr>
      <vt:lpstr>Análise Semana 1</vt:lpstr>
      <vt:lpstr>Semana 2</vt:lpstr>
      <vt:lpstr>Análise Semana 2</vt:lpstr>
      <vt:lpstr>Semana 3</vt:lpstr>
      <vt:lpstr>Análise Semana 3</vt:lpstr>
      <vt:lpstr>Semana 4</vt:lpstr>
      <vt:lpstr>Análise Semana 4</vt:lpstr>
      <vt:lpstr>Semana 5</vt:lpstr>
      <vt:lpstr>Análise Semana 5</vt:lpstr>
      <vt:lpstr>Calculos</vt:lpstr>
      <vt:lpstr>Resultados!Area_de_impressao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Estevão Tavares</cp:lastModifiedBy>
  <dcterms:created xsi:type="dcterms:W3CDTF">2015-06-24T19:21:22Z</dcterms:created>
  <dcterms:modified xsi:type="dcterms:W3CDTF">2023-05-03T14:15:47Z</dcterms:modified>
</cp:coreProperties>
</file>